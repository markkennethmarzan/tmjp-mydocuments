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drawings/drawing1.xml" ContentType="application/vnd.openxmlformats-officedocument.drawing+xml"/>
  <Override PartName="/xl/ctrlProps/ctrlProp4.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trlProps/ctrlProp1.xml" ContentType="application/vnd.ms-excel.controlproperties+xml"/>
  <Override PartName="/xl/ctrlProps/ctrlProp3.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lastEdited="6" lowestEdited="5" rupBuild="14420" codeName="{7A2D7E96-6E34-419A-AE5F-296B3A7E7977}"/>
  <workbookPr codeName="ThisWorkbook" defaultThemeVersion="124226"/>
  <mc:AlternateContent>
    <mc:Choice Requires="x15">
      <x15ac:absPath xmlns:x15ac="http://schemas.microsoft.com/office/spreadsheetml/2010/11/ac" url="\\Share06\事務管理部\　企画推進課\★社長・会社住所変更等の書面対応＜内田＞\201906.セコム㈱・北陸㈱・山陰㈱の社長交代\様式集\STS\"/>
    </mc:Choice>
  </mc:AlternateContent>
  <bookViews>
    <workbookView xWindow="150" yWindow="15" windowWidth="15180" windowHeight="12345"/>
  </bookViews>
  <sheets>
    <sheet name="見積書" sheetId="1" r:id="rId1"/>
    <sheet name="申込書" sheetId="5" r:id="rId2"/>
    <sheet name="申込承諾書" sheetId="6" r:id="rId3"/>
    <sheet name="契約書" sheetId="8" r:id="rId4"/>
  </sheets>
  <definedNames>
    <definedName name="_xlnm.Print_Area" localSheetId="3">契約書!$B$4:$AF$77</definedName>
    <definedName name="_xlnm.Print_Area" localSheetId="0">見積書!$B$5:$AF$73</definedName>
    <definedName name="_xlnm.Print_Area" localSheetId="1">申込書!$B$4:$AF$78</definedName>
    <definedName name="_xlnm.Print_Area" localSheetId="2">申込承諾書!$B$4:$AF$77</definedName>
  </definedNames>
  <calcPr calcId="152511" fullCalcOnLoad="1"/>
</workbook>
</file>

<file path=xl/calcChain.xml><?xml version="1.0" encoding="utf-8"?>
<calcChain xmlns="http://schemas.openxmlformats.org/spreadsheetml/2006/main">
  <c r="C71" i="6" l="1"/>
  <c r="C65" i="1"/>
  <c r="B65" i="1" s="1"/>
  <c r="B72" i="8" s="1"/>
  <c r="B73" i="5" l="1"/>
  <c r="B72" i="6" s="1"/>
  <c r="C73" i="5"/>
  <c r="C72" i="6" s="1"/>
  <c r="C72" i="8"/>
  <c r="B41" i="1"/>
  <c r="C71" i="8" l="1"/>
  <c r="C70" i="8"/>
  <c r="C69" i="8"/>
  <c r="B28" i="8"/>
  <c r="C70" i="6"/>
  <c r="C69" i="6"/>
  <c r="B28" i="6"/>
  <c r="C72" i="5"/>
  <c r="C71" i="5"/>
  <c r="C70" i="5"/>
  <c r="B29" i="5"/>
  <c r="B28" i="1"/>
  <c r="B30" i="5" s="1"/>
  <c r="B49" i="1"/>
  <c r="B51" i="1"/>
  <c r="V40" i="1"/>
  <c r="AB40" i="1" s="1"/>
  <c r="P40" i="1"/>
  <c r="AB42" i="1"/>
  <c r="V46" i="1"/>
  <c r="AB46" i="1" s="1"/>
  <c r="V45" i="1"/>
  <c r="AB45" i="1" s="1"/>
  <c r="V44" i="1"/>
  <c r="AB44" i="1" s="1"/>
  <c r="V43" i="1"/>
  <c r="AB43" i="1" s="1"/>
  <c r="V42" i="1"/>
  <c r="V41" i="1"/>
  <c r="AB41" i="1" s="1"/>
  <c r="P46" i="1"/>
  <c r="P45" i="1"/>
  <c r="P44" i="1"/>
  <c r="P43" i="1"/>
  <c r="P42" i="1"/>
  <c r="P41" i="1"/>
  <c r="B46" i="1"/>
  <c r="B45" i="1"/>
  <c r="B44" i="1"/>
  <c r="B43" i="1"/>
  <c r="B42" i="1"/>
  <c r="B40" i="1"/>
  <c r="B29" i="8" l="1"/>
  <c r="B29" i="6"/>
  <c r="AB35" i="1" l="1"/>
  <c r="AB34" i="1"/>
  <c r="AB33" i="1"/>
  <c r="AB36" i="1" l="1"/>
  <c r="C75" i="6"/>
  <c r="B75" i="6"/>
  <c r="C74" i="6"/>
  <c r="B74" i="6"/>
  <c r="P53" i="1"/>
  <c r="B48" i="1"/>
  <c r="B64" i="1" l="1"/>
  <c r="V52" i="1"/>
  <c r="V53" i="1"/>
  <c r="B53" i="1"/>
  <c r="P52" i="1"/>
  <c r="B52" i="1"/>
  <c r="V51" i="1"/>
  <c r="P51" i="1"/>
  <c r="V50" i="1"/>
  <c r="P50" i="1"/>
  <c r="B50" i="1"/>
  <c r="V49" i="1"/>
  <c r="P49" i="1"/>
  <c r="V48" i="1"/>
  <c r="P48" i="1"/>
  <c r="Z49" i="6" l="1"/>
  <c r="Z49" i="8"/>
  <c r="H64" i="6"/>
  <c r="H62" i="6"/>
  <c r="O61" i="6"/>
  <c r="K61" i="6"/>
  <c r="I61" i="6"/>
  <c r="P57" i="6"/>
  <c r="M57" i="6"/>
  <c r="I57" i="6"/>
  <c r="Z50" i="5"/>
  <c r="AF77" i="8" l="1"/>
  <c r="AF77" i="6"/>
  <c r="AF78" i="5"/>
  <c r="AF73" i="1"/>
  <c r="P4" i="1"/>
  <c r="U12" i="8" l="1"/>
  <c r="H58" i="8"/>
  <c r="Z54" i="8"/>
  <c r="AB54" i="8" s="1"/>
  <c r="V54" i="8"/>
  <c r="P54" i="8"/>
  <c r="H54" i="8"/>
  <c r="B54" i="8"/>
  <c r="Z53" i="8"/>
  <c r="AB53" i="8" s="1"/>
  <c r="V53" i="8"/>
  <c r="P53" i="8"/>
  <c r="H53" i="8"/>
  <c r="B53" i="8"/>
  <c r="Z52" i="8"/>
  <c r="V52" i="8"/>
  <c r="P52" i="8"/>
  <c r="H52" i="8"/>
  <c r="B52" i="8"/>
  <c r="Z51" i="8"/>
  <c r="V51" i="8"/>
  <c r="P51" i="8"/>
  <c r="H51" i="8"/>
  <c r="B51" i="8"/>
  <c r="Z50" i="8"/>
  <c r="V50" i="8"/>
  <c r="P50" i="8"/>
  <c r="H50" i="8"/>
  <c r="B50" i="8"/>
  <c r="V49" i="8"/>
  <c r="AB49" i="8" s="1"/>
  <c r="P49" i="8"/>
  <c r="H49" i="8"/>
  <c r="B49" i="8"/>
  <c r="Z47" i="8"/>
  <c r="P47" i="8"/>
  <c r="H47" i="8"/>
  <c r="B47" i="8"/>
  <c r="Z46" i="8"/>
  <c r="V46" i="8"/>
  <c r="P46" i="8"/>
  <c r="H46" i="8"/>
  <c r="B46" i="8"/>
  <c r="Z45" i="8"/>
  <c r="V45" i="8"/>
  <c r="P45" i="8"/>
  <c r="H45" i="8"/>
  <c r="B45" i="8"/>
  <c r="Z44" i="8"/>
  <c r="AB44" i="8" s="1"/>
  <c r="V44" i="8"/>
  <c r="P44" i="8"/>
  <c r="H44" i="8"/>
  <c r="B44" i="8"/>
  <c r="Z43" i="8"/>
  <c r="AB43" i="8" s="1"/>
  <c r="V43" i="8"/>
  <c r="P43" i="8"/>
  <c r="H43" i="8"/>
  <c r="B43" i="8"/>
  <c r="Z42" i="8"/>
  <c r="V42" i="8"/>
  <c r="P42" i="8"/>
  <c r="H42" i="8"/>
  <c r="B42" i="8"/>
  <c r="Z41" i="8"/>
  <c r="V41" i="8"/>
  <c r="P41" i="8"/>
  <c r="H41" i="8"/>
  <c r="B41" i="8"/>
  <c r="Z36" i="8"/>
  <c r="V36" i="8"/>
  <c r="B36" i="8"/>
  <c r="Z35" i="8"/>
  <c r="V35" i="8"/>
  <c r="B35" i="8"/>
  <c r="Z34" i="8"/>
  <c r="V34" i="8"/>
  <c r="B34" i="8"/>
  <c r="Z27" i="8"/>
  <c r="R27" i="8"/>
  <c r="Z26" i="8"/>
  <c r="R26" i="8"/>
  <c r="R22" i="8"/>
  <c r="B22" i="8"/>
  <c r="B9" i="6"/>
  <c r="W13" i="6"/>
  <c r="AC7" i="6"/>
  <c r="H58" i="6"/>
  <c r="Z54" i="6"/>
  <c r="AB54" i="6" s="1"/>
  <c r="V54" i="6"/>
  <c r="P54" i="6"/>
  <c r="H54" i="6"/>
  <c r="B54" i="6"/>
  <c r="Z53" i="6"/>
  <c r="AB53" i="6" s="1"/>
  <c r="V53" i="6"/>
  <c r="P53" i="6"/>
  <c r="H53" i="6"/>
  <c r="B53" i="6"/>
  <c r="Z52" i="6"/>
  <c r="V52" i="6"/>
  <c r="P52" i="6"/>
  <c r="H52" i="6"/>
  <c r="B52" i="6"/>
  <c r="Z51" i="6"/>
  <c r="V51" i="6"/>
  <c r="P51" i="6"/>
  <c r="H51" i="6"/>
  <c r="B51" i="6"/>
  <c r="Z50" i="6"/>
  <c r="V50" i="6"/>
  <c r="P50" i="6"/>
  <c r="H50" i="6"/>
  <c r="B50" i="6"/>
  <c r="V49" i="6"/>
  <c r="AB49" i="6" s="1"/>
  <c r="P49" i="6"/>
  <c r="H49" i="6"/>
  <c r="B49" i="6"/>
  <c r="Z47" i="6"/>
  <c r="P47" i="6"/>
  <c r="H47" i="6"/>
  <c r="B47" i="6"/>
  <c r="Z46" i="6"/>
  <c r="V46" i="6"/>
  <c r="P46" i="6"/>
  <c r="H46" i="6"/>
  <c r="B46" i="6"/>
  <c r="Z45" i="6"/>
  <c r="V45" i="6"/>
  <c r="P45" i="6"/>
  <c r="H45" i="6"/>
  <c r="B45" i="6"/>
  <c r="Z44" i="6"/>
  <c r="AB44" i="6" s="1"/>
  <c r="V44" i="6"/>
  <c r="P44" i="6"/>
  <c r="H44" i="6"/>
  <c r="B44" i="6"/>
  <c r="Z43" i="6"/>
  <c r="AB43" i="6" s="1"/>
  <c r="V43" i="6"/>
  <c r="P43" i="6"/>
  <c r="H43" i="6"/>
  <c r="B43" i="6"/>
  <c r="Z42" i="6"/>
  <c r="V42" i="6"/>
  <c r="P42" i="6"/>
  <c r="H42" i="6"/>
  <c r="B42" i="6"/>
  <c r="Z41" i="6"/>
  <c r="V41" i="6"/>
  <c r="P41" i="6"/>
  <c r="H41" i="6"/>
  <c r="B41" i="6"/>
  <c r="Z36" i="6"/>
  <c r="V36" i="6"/>
  <c r="B36" i="6"/>
  <c r="Z35" i="6"/>
  <c r="V35" i="6"/>
  <c r="B35" i="6"/>
  <c r="Z34" i="6"/>
  <c r="V34" i="6"/>
  <c r="B34" i="6"/>
  <c r="Z27" i="6"/>
  <c r="R27" i="6"/>
  <c r="Z26" i="6"/>
  <c r="R26" i="6"/>
  <c r="R22" i="6"/>
  <c r="B22" i="6"/>
  <c r="B6" i="5"/>
  <c r="AB51" i="6" l="1"/>
  <c r="AB51" i="8"/>
  <c r="AB46" i="6"/>
  <c r="AB46" i="8"/>
  <c r="AB50" i="6"/>
  <c r="AB50" i="8"/>
  <c r="AB52" i="6"/>
  <c r="AB45" i="6"/>
  <c r="AB45" i="8"/>
  <c r="AB42" i="6"/>
  <c r="AB42" i="8"/>
  <c r="AB52" i="8"/>
  <c r="AB36" i="6"/>
  <c r="AB36" i="8"/>
  <c r="AB35" i="6"/>
  <c r="AB35" i="8"/>
  <c r="AB34" i="8"/>
  <c r="AB41" i="8"/>
  <c r="AB34" i="6"/>
  <c r="AB37" i="6" s="1"/>
  <c r="H26" i="6" s="1"/>
  <c r="AB41" i="6"/>
  <c r="H59" i="5"/>
  <c r="Z55" i="5"/>
  <c r="Z54" i="5"/>
  <c r="Z53" i="5"/>
  <c r="AB53" i="5" s="1"/>
  <c r="Z52" i="5"/>
  <c r="Z51" i="5"/>
  <c r="AB51" i="5" s="1"/>
  <c r="Z48" i="5"/>
  <c r="Z47" i="5"/>
  <c r="Z46" i="5"/>
  <c r="Z45" i="5"/>
  <c r="Z44" i="5"/>
  <c r="Z43" i="5"/>
  <c r="V55" i="5"/>
  <c r="V54" i="5"/>
  <c r="AB54" i="5" s="1"/>
  <c r="V53" i="5"/>
  <c r="V52" i="5"/>
  <c r="AB52" i="5" s="1"/>
  <c r="V51" i="5"/>
  <c r="V50" i="5"/>
  <c r="AB50" i="5" s="1"/>
  <c r="V47" i="5"/>
  <c r="V46" i="5"/>
  <c r="V45" i="5"/>
  <c r="V44" i="5"/>
  <c r="V43" i="5"/>
  <c r="P55" i="5"/>
  <c r="P54" i="5"/>
  <c r="P53" i="5"/>
  <c r="P52" i="5"/>
  <c r="P51" i="5"/>
  <c r="P50" i="5"/>
  <c r="P48" i="5"/>
  <c r="P47" i="5"/>
  <c r="P46" i="5"/>
  <c r="P45" i="5"/>
  <c r="P44" i="5"/>
  <c r="P43" i="5"/>
  <c r="H55" i="5"/>
  <c r="H54" i="5"/>
  <c r="H53" i="5"/>
  <c r="H52" i="5"/>
  <c r="H51" i="5"/>
  <c r="H50" i="5"/>
  <c r="H48" i="5"/>
  <c r="H47" i="5"/>
  <c r="H46" i="5"/>
  <c r="H45" i="5"/>
  <c r="H44" i="5"/>
  <c r="H43" i="5"/>
  <c r="B55" i="5"/>
  <c r="B54" i="5"/>
  <c r="B53" i="5"/>
  <c r="B52" i="5"/>
  <c r="B51" i="5"/>
  <c r="B50" i="5"/>
  <c r="B48" i="5"/>
  <c r="B47" i="5"/>
  <c r="B46" i="5"/>
  <c r="B45" i="5"/>
  <c r="B44" i="5"/>
  <c r="B43" i="5"/>
  <c r="Z42" i="5"/>
  <c r="AB42" i="5" s="1"/>
  <c r="V42" i="5"/>
  <c r="P42" i="5"/>
  <c r="H42" i="5"/>
  <c r="B42" i="5"/>
  <c r="Z37" i="5"/>
  <c r="Z36" i="5"/>
  <c r="AB36" i="5" s="1"/>
  <c r="Z35" i="5"/>
  <c r="V37" i="5"/>
  <c r="V36" i="5"/>
  <c r="V35" i="5"/>
  <c r="B37" i="5"/>
  <c r="B36" i="5"/>
  <c r="B35" i="5"/>
  <c r="Z28" i="5"/>
  <c r="R28" i="5"/>
  <c r="Z27" i="5"/>
  <c r="R27" i="5"/>
  <c r="R23" i="5"/>
  <c r="B23" i="5"/>
  <c r="AB55" i="5"/>
  <c r="AB46" i="5"/>
  <c r="AB44" i="5"/>
  <c r="AB37" i="5"/>
  <c r="AB35" i="5"/>
  <c r="AB47" i="5" l="1"/>
  <c r="AB45" i="5"/>
  <c r="AB37" i="8"/>
  <c r="AB43" i="5"/>
  <c r="AB38" i="5"/>
  <c r="H27" i="5" s="1"/>
  <c r="V47" i="8"/>
  <c r="AB47" i="8" s="1"/>
  <c r="AB55" i="8" s="1"/>
  <c r="V47" i="6"/>
  <c r="AB47" i="6" s="1"/>
  <c r="AB55" i="6" s="1"/>
  <c r="H27" i="6" s="1"/>
  <c r="V48" i="5"/>
  <c r="AB48" i="5" s="1"/>
  <c r="AB56" i="5" s="1"/>
  <c r="H28" i="5" s="1"/>
  <c r="AA3" i="1"/>
  <c r="X3" i="1"/>
  <c r="Z3" i="1"/>
  <c r="AC26" i="1"/>
  <c r="AB53" i="1"/>
  <c r="AB52" i="1"/>
  <c r="AB51" i="1"/>
  <c r="AB50" i="1"/>
  <c r="AB49" i="1"/>
  <c r="AB48" i="1"/>
  <c r="AB54" i="1" s="1"/>
  <c r="H26" i="1" l="1"/>
  <c r="H27" i="8" s="1"/>
  <c r="H25" i="1"/>
  <c r="H26" i="8" s="1"/>
  <c r="AC27" i="8"/>
  <c r="AC27" i="6"/>
  <c r="AC28" i="5"/>
  <c r="AC7" i="1" l="1"/>
</calcChain>
</file>

<file path=xl/sharedStrings.xml><?xml version="1.0" encoding="utf-8"?>
<sst xmlns="http://schemas.openxmlformats.org/spreadsheetml/2006/main">
  <si>
    <r>
      <t xml:space="preserve">Create by registering, selecting, and changing the following items in □.</t>
    </r>
  </si>
  <si>
    <r>
      <t xml:space="preserve">Mikami book</t>
    </r>
  </si>
  <si>
    <r>
      <t xml:space="preserve">●● Ochu Co., Ltd.</t>
    </r>
  </si>
  <si>
    <r>
      <t xml:space="preserve">I would like to quote as follows.</t>
    </r>
  </si>
  <si>
    <r>
      <t xml:space="preserve">Please confirm the terms and conditions submitted separately before applying.</t>
    </r>
  </si>
  <si>
    <r>
      <t xml:space="preserve">Service name</t>
    </r>
  </si>
  <si>
    <r>
      <t xml:space="preserve">Reliable telephone turn service</t>
    </r>
  </si>
  <si>
    <r>
      <t xml:space="preserve">Estimated amount</t>
    </r>
  </si>
  <si>
    <r>
      <t xml:space="preserve">Initial fee</t>
    </r>
  </si>
  <si>
    <r>
      <t xml:space="preserve">Monthly fee</t>
    </r>
  </si>
  <si>
    <r>
      <t xml:space="preserve">* Monthly charges are the total of fixed charges and pay-as-you-go charges. Since the usage fee varies depending on the number of usage, the above monthly fee also varies.</t>
    </r>
  </si>
  <si>
    <r>
      <t xml:space="preserve">Estimated price breakdown</t>
    </r>
  </si>
  <si>
    <r>
      <t xml:space="preserve">1. Initial fee</t>
    </r>
  </si>
  <si>
    <r>
      <t>total</t>
    </r>
  </si>
  <si>
    <r>
      <t xml:space="preserve">2. Monthly fee</t>
    </r>
  </si>
  <si>
    <r>
      <t xml:space="preserve">　(1) Fixed fee</t>
    </r>
  </si>
  <si>
    <r>
      <t xml:space="preserve">　(2) Pay-as-you-go charges</t>
    </r>
  </si>
  <si>
    <r>
      <t xml:space="preserve">Contract period</t>
    </r>
  </si>
  <si>
    <r>
      <t>Remarks</t>
    </r>
  </si>
  <si>
    <r>
      <t>○</t>
    </r>
  </si>
  <si>
    <r>
      <t xml:space="preserve">● Contact information for this estimate ●</t>
    </r>
  </si>
  <si>
    <r>
      <t xml:space="preserve">Office name</t>
    </r>
  </si>
  <si>
    <r>
      <t xml:space="preserve">&lt;Exclusion of anti-social forces such as gangs&gt;</t>
    </r>
  </si>
  <si>
    <r>
      <t xml:space="preserve">SECOM does not do any business with anti-social forces such as gangs. (Also prohibited by local government regulations)</t>
    </r>
  </si>
  <si>
    <r>
      <t>（2019.06）</t>
    </r>
  </si>
  <si>
    <r>
      <t xml:space="preserve">The billing start date for the monthly fee shall be the first day of the month to which the service start date belongs.</t>
    </r>
  </si>
  <si>
    <r>
      <t xml:space="preserve">The monthly fee for the service end month will be paid in full for one month regardless of the length of the day.</t>
    </r>
  </si>
  <si>
    <r>
      <t xml:space="preserve">The details are defined in “Anshin Telephone Duty Service Service Description”.</t>
    </r>
  </si>
  <si>
    <r>
      <t xml:space="preserve">Since it is necessary to prepare the system environment, such as obtaining a customer-specific forwarding phone number, it takes about two months for the service to start.</t>
    </r>
  </si>
  <si>
    <r>
      <t xml:space="preserve">Product eyes</t>
    </r>
  </si>
  <si>
    <r>
      <t xml:space="preserve">One year from the service start date. However, the contract period will be renewed for one year if the customer or SECOM does not make any other written notice to the other party within three months before the contract period expires, and so on.</t>
    </r>
  </si>
  <si>
    <r>
      <t xml:space="preserve">Decision number</t>
    </r>
  </si>
  <si>
    <r>
      <t xml:space="preserve">Applicable terms and conditions</t>
    </r>
  </si>
  <si>
    <r>
      <t xml:space="preserve">Reliable telephone duty service terms of service</t>
    </r>
  </si>
  <si>
    <r>
      <t xml:space="preserve">Payment terms</t>
    </r>
  </si>
  <si>
    <r>
      <t xml:space="preserve">Payment date</t>
    </r>
  </si>
  <si>
    <r>
      <t xml:space="preserve">Immediately after the service starts</t>
    </r>
  </si>
  <si>
    <r>
      <t xml:space="preserve">Within one month after the billing period starts</t>
    </r>
  </si>
  <si>
    <r>
      <t xml:space="preserve">Contact name</t>
    </r>
  </si>
  <si>
    <r>
      <t>H</t>
    </r>
  </si>
  <si>
    <r>
      <t xml:space="preserve">unit price</t>
    </r>
  </si>
  <si>
    <r>
      <t xml:space="preserve">Estimated date</t>
    </r>
  </si>
  <si>
    <r>
      <t xml:space="preserve">Estimated validity period</t>
    </r>
  </si>
  <si>
    <r>
      <t xml:space="preserve">SECOM Co., Ltd.</t>
    </r>
  </si>
  <si>
    <r>
      <t xml:space="preserve">
Responsible person</t>
    </r>
  </si>
  <si>
    <r>
      <t xml:space="preserve">Payment Method</t>
    </r>
  </si>
  <si>
    <r>
      <t xml:space="preserve">Account transfer</t>
    </r>
  </si>
  <si>
    <r>
      <t xml:space="preserve">Every month</t>
    </r>
  </si>
  <si>
    <r>
      <t>quantity</t>
    </r>
  </si>
  <si>
    <r>
      <t xml:space="preserve">phone number</t>
    </r>
  </si>
  <si>
    <r>
      <t>：</t>
    </r>
  </si>
  <si>
    <r>
      <t xml:space="preserve">Price (excluding tax)</t>
    </r>
  </si>
  <si>
    <r>
      <t xml:space="preserve">1 month from the estimated date</t>
    </r>
  </si>
  <si>
    <r>
      <t xml:space="preserve">
Person in charge</t>
    </r>
  </si>
  <si>
    <r>
      <t xml:space="preserve">SECOM Joshinetsu Co., Ltd.</t>
    </r>
  </si>
  <si>
    <r>
      <t xml:space="preserve">SECOM Sado Corporation</t>
    </r>
  </si>
  <si>
    <r>
      <t xml:space="preserve">SECOM Hokuriku Co., Ltd.</t>
    </r>
  </si>
  <si>
    <r>
      <t xml:space="preserve">Secom Yamanashi Corporation</t>
    </r>
  </si>
  <si>
    <r>
      <t xml:space="preserve">Secom Mie Corporation</t>
    </r>
  </si>
  <si>
    <r>
      <t xml:space="preserve">Secom Sanin Co., Ltd.</t>
    </r>
  </si>
  <si>
    <r>
      <t xml:space="preserve">SECOM Kochi Co., Ltd.</t>
    </r>
  </si>
  <si>
    <r>
      <t xml:space="preserve">SECOM Miyazaki Co., Ltd.</t>
    </r>
  </si>
  <si>
    <r>
      <t xml:space="preserve">Secom Ryukyu Corporation</t>
    </r>
  </si>
  <si>
    <r>
      <t xml:space="preserve">Wire transfer</t>
    </r>
  </si>
  <si>
    <r>
      <t xml:space="preserve">2. (1) Monthly fee Price item Fixed fee</t>
    </r>
  </si>
  <si>
    <r>
      <t xml:space="preserve">Weekday daytime pack</t>
    </r>
  </si>
  <si>
    <r>
      <t xml:space="preserve">Weekday daytime to evening pack</t>
    </r>
  </si>
  <si>
    <r>
      <t xml:space="preserve">365 days day to evening pack</t>
    </r>
  </si>
  <si>
    <r>
      <t xml:space="preserve">365 days 24 hours pack</t>
    </r>
  </si>
  <si>
    <r>
      <t xml:space="preserve">Weekday night, Saturday and Sunday 24-hour pack</t>
    </r>
  </si>
  <si>
    <r>
      <t xml:space="preserve">Work style reform pack</t>
    </r>
  </si>
  <si>
    <r>
      <t xml:space="preserve">Operator name ride</t>
    </r>
  </si>
  <si>
    <r>
      <t xml:space="preserve">2. (2) Monthly charge Fee item Pay-as-you-go charge</t>
    </r>
  </si>
  <si>
    <r>
      <t xml:space="preserve">Weekday daytime overpack ①</t>
    </r>
  </si>
  <si>
    <r>
      <t xml:space="preserve">Weekday daytime excess of pack ②</t>
    </r>
  </si>
  <si>
    <r>
      <t xml:space="preserve">Over weekday daytime pack ③</t>
    </r>
  </si>
  <si>
    <r>
      <t xml:space="preserve">Weekday daytime-evening pack excess ①</t>
    </r>
  </si>
  <si>
    <r>
      <t xml:space="preserve">Weekday daytime-evening pack excess ②</t>
    </r>
  </si>
  <si>
    <r>
      <t xml:space="preserve">Weekday daytime-evening pack excess ③</t>
    </r>
  </si>
  <si>
    <r>
      <t xml:space="preserve">365 days day to evening pack excess ①</t>
    </r>
  </si>
  <si>
    <r>
      <t xml:space="preserve">365 days day to evening pack excess ②</t>
    </r>
  </si>
  <si>
    <r>
      <t xml:space="preserve">365 days day to evening pack excess ③</t>
    </r>
  </si>
  <si>
    <r>
      <t xml:space="preserve">Exceeded 24-hour pack 365 days ①</t>
    </r>
  </si>
  <si>
    <r>
      <t xml:space="preserve">Exceeded 24-hour pack 365 days ②</t>
    </r>
  </si>
  <si>
    <r>
      <t xml:space="preserve">Exceeded 24 hours / 365 days pack ③</t>
    </r>
  </si>
  <si>
    <r>
      <t xml:space="preserve">Weekday night, Saturday and Sunday over 24 hours pack ①</t>
    </r>
  </si>
  <si>
    <r>
      <t xml:space="preserve">Weekday night, Saturday and Sunday over 24 hours pack ②</t>
    </r>
  </si>
  <si>
    <r>
      <t xml:space="preserve">Weekday night, Saturday and Sunday over 24 hours pack ③</t>
    </r>
  </si>
  <si>
    <r>
      <t xml:space="preserve">Work style reform pack excess ①</t>
    </r>
  </si>
  <si>
    <r>
      <t xml:space="preserve">Work style reform pack excess ②</t>
    </r>
  </si>
  <si>
    <r>
      <t xml:space="preserve">Work style reform pack exceeded ③</t>
    </r>
  </si>
  <si>
    <r>
      <t xml:space="preserve">Basic service</t>
    </r>
  </si>
  <si>
    <r>
      <t>option</t>
    </r>
  </si>
  <si>
    <r>
      <t xml:space="preserve">Up to 80 calls</t>
    </r>
  </si>
  <si>
    <r>
      <t xml:space="preserve">Up to 120 calls</t>
    </r>
  </si>
  <si>
    <r>
      <t xml:space="preserve">Up to 30 calls</t>
    </r>
  </si>
  <si>
    <r>
      <t xml:space="preserve">Up to 20 calls</t>
    </r>
  </si>
  <si>
    <r>
      <t>－</t>
    </r>
  </si>
  <si>
    <r>
      <t xml:space="preserve">81-160 calls available per call</t>
    </r>
  </si>
  <si>
    <r>
      <t xml:space="preserve">161-240 calls per call</t>
    </r>
  </si>
  <si>
    <r>
      <t xml:space="preserve">241 calls or more per call</t>
    </r>
  </si>
  <si>
    <r>
      <t xml:space="preserve">121-240 calls per call</t>
    </r>
  </si>
  <si>
    <r>
      <t xml:space="preserve">241-360 calls available per call</t>
    </r>
  </si>
  <si>
    <r>
      <t xml:space="preserve">More than 361 calls per call</t>
    </r>
  </si>
  <si>
    <r>
      <t xml:space="preserve">31 to 60 calls per call</t>
    </r>
  </si>
  <si>
    <r>
      <t xml:space="preserve">61-90 calls per call</t>
    </r>
  </si>
  <si>
    <r>
      <t xml:space="preserve">91 calls or more per call</t>
    </r>
  </si>
  <si>
    <r>
      <t xml:space="preserve">21-40 calls per call</t>
    </r>
  </si>
  <si>
    <r>
      <t xml:space="preserve">41 to 60 calls per call</t>
    </r>
  </si>
  <si>
    <r>
      <t xml:space="preserve">61 calls or more per call</t>
    </r>
  </si>
  <si>
    <r>
      <t xml:space="preserve">Please register the item in the following □ (you can also fill it out with the signature field).</t>
    </r>
  </si>
  <si>
    <r>
      <t xml:space="preserve">* If you want to modify other items, please modify from the estimate.</t>
    </r>
  </si>
  <si>
    <r>
      <t>application</t>
    </r>
  </si>
  <si>
    <r>
      <t>Customer</t>
    </r>
  </si>
  <si>
    <r>
      <t xml:space="preserve">The Company (hereinafter referred to as “Customer”) shall apply to your company (hereinafter referred to as “SECOM”) after consenting to the following matters.</t>
    </r>
  </si>
  <si>
    <r>
      <t xml:space="preserve">Contract fee</t>
    </r>
  </si>
  <si>
    <r>
      <t xml:space="preserve">Breakdown of contract fee</t>
    </r>
  </si>
  <si>
    <r>
      <t xml:space="preserve">Desired service start date</t>
    </r>
  </si>
  <si>
    <r>
      <t xml:space="preserve">Special provisions, etc.</t>
    </r>
  </si>
  <si>
    <r>
      <t>Address</t>
    </r>
  </si>
  <si>
    <r>
      <t xml:space="preserve">Corporate name</t>
    </r>
  </si>
  <si>
    <r>
      <t xml:space="preserve">Qualification and name of representative</t>
    </r>
  </si>
  <si>
    <r>
      <t>〒</t>
    </r>
  </si>
  <si>
    <r>
      <t>Furiga</t>
    </r>
  </si>
  <si>
    <r>
      <t>-</t>
    </r>
  </si>
  <si>
    <r>
      <t xml:space="preserve">* Notes on signing (signing) and stamping
Please fill in the name (signature) and seal with the representative right person (including those with proxy rights (including senior managers)). For seals, please use the “representative seal” (representative director stamp with the company name stamped) or the “professional seal” of a person with proxy rights.</t>
    </r>
  </si>
  <si>
    <r>
      <t>Year</t>
    </r>
  </si>
  <si>
    <r>
      <t>Moon</t>
    </r>
  </si>
  <si>
    <r>
      <t>Day</t>
    </r>
  </si>
  <si>
    <r>
      <t xml:space="preserve">Application date</t>
    </r>
  </si>
  <si>
    <r>
      <t>seal</t>
    </r>
  </si>
  <si>
    <r>
      <t xml:space="preserve">Representative seal</t>
    </r>
  </si>
  <si>
    <r>
      <t xml:space="preserve">If the customer requests the submission of a consent form, please register and modify the following □.</t>
    </r>
  </si>
  <si>
    <r>
      <t xml:space="preserve">Application consent form</t>
    </r>
  </si>
  <si>
    <r>
      <t xml:space="preserve">Our company (hereinafter referred to as “SECOM”) is from your company (hereinafter referred to as “customer”).</t>
    </r>
  </si>
  <si>
    <r>
      <t xml:space="preserve">Date We will apply based on the application form as follows.</t>
    </r>
  </si>
  <si>
    <r>
      <t xml:space="preserve">1-5-1, Jingumae, Shibuya-ku, Tokyo</t>
    </r>
  </si>
  <si>
    <r>
      <t xml:space="preserve">President Ichiro Ozeki</t>
    </r>
  </si>
  <si>
    <r>
      <t xml:space="preserve">date of issue</t>
    </r>
  </si>
  <si>
    <r>
      <t xml:space="preserve">If a customer requests for mutual signing, please register and modify the following items in □.</t>
    </r>
  </si>
  <si>
    <r>
      <t>contract</t>
    </r>
  </si>
  <si>
    <r>
      <t>(Customer)</t>
    </r>
  </si>
  <si>
    <r>
      <t xml:space="preserve">Customer and SECOM agree to the following matters and make a contract here. Two copies of this document will be prepared to prove the conclusion of this contract, and each customer and SECOM will have one copy.</t>
    </r>
  </si>
  <si>
    <r>
      <t>(SECOM)</t>
    </r>
  </si>
  <si>
    <r>
      <t xml:space="preserve">Conclusion date: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</si>
</sst>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5" formatCode="&quot;¥&quot;#,##0;&quot;¥&quot;\-#,##0"/>
    <numFmt numFmtId="176" formatCode="yyyy&quot;年&quot;m&quot;月&quot;d&quot;日&quot;;@"/>
    <numFmt numFmtId="177" formatCode="#,##0_ "/>
    <numFmt numFmtId="178" formatCode="#,##0&quot;円(税別)&quot;"/>
    <numFmt numFmtId="179" formatCode="#,##0&quot;円&quot;"/>
    <numFmt numFmtId="180" formatCode="#,##0_ ;[Red]\-#,##0\ "/>
  </numFmts>
  <fonts count="38">
    <font>
      <sz val="11"/>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u/>
      <sz val="11"/>
      <color theme="1"/>
      <name val="ＭＳ Ｐゴシック"/>
      <family val="3"/>
      <charset val="128"/>
      <scheme val="minor"/>
    </font>
    <font>
      <sz val="6"/>
      <color theme="1"/>
      <name val="ＭＳ Ｐゴシック"/>
      <family val="2"/>
      <charset val="128"/>
      <scheme val="minor"/>
    </font>
    <font>
      <sz val="6"/>
      <color theme="1"/>
      <name val="ＭＳ Ｐゴシック"/>
      <family val="3"/>
      <charset val="128"/>
      <scheme val="minor"/>
    </font>
    <font>
      <sz val="9"/>
      <color theme="1"/>
      <name val="ＭＳ Ｐゴシック"/>
      <family val="3"/>
      <charset val="128"/>
      <scheme val="minor"/>
    </font>
    <font>
      <sz val="6"/>
      <color theme="0" tint="-0.14999847407452621"/>
      <name val="ＭＳ Ｐゴシック"/>
      <family val="2"/>
      <charset val="128"/>
      <scheme val="minor"/>
    </font>
    <font>
      <sz val="6"/>
      <color theme="0" tint="-0.14999847407452621"/>
      <name val="ＭＳ Ｐゴシック"/>
      <family val="3"/>
      <charset val="128"/>
      <scheme val="minor"/>
    </font>
    <font>
      <sz val="10"/>
      <color theme="1"/>
      <name val="ＭＳ Ｐゴシック"/>
      <family val="3"/>
      <charset val="128"/>
      <scheme val="minor"/>
    </font>
    <font>
      <u/>
      <sz val="11"/>
      <color theme="1"/>
      <name val="ＭＳ Ｐゴシック"/>
      <family val="2"/>
      <charset val="128"/>
      <scheme val="minor"/>
    </font>
    <font>
      <sz val="9"/>
      <color theme="0"/>
      <name val="ＭＳ Ｐゴシック"/>
      <family val="2"/>
      <charset val="128"/>
      <scheme val="minor"/>
    </font>
    <font>
      <u/>
      <sz val="11"/>
      <color theme="10"/>
      <name val="ＭＳ Ｐゴシック"/>
      <family val="2"/>
      <charset val="128"/>
      <scheme val="minor"/>
    </font>
    <font>
      <sz val="7"/>
      <color theme="1"/>
      <name val="ＭＳ Ｐゴシック"/>
      <family val="2"/>
      <charset val="128"/>
      <scheme val="minor"/>
    </font>
    <font>
      <sz val="7"/>
      <color theme="1"/>
      <name val="ＭＳ Ｐゴシック"/>
      <family val="3"/>
      <charset val="128"/>
      <scheme val="minor"/>
    </font>
    <font>
      <sz val="10"/>
      <color theme="1"/>
      <name val="ＭＳ Ｐゴシック"/>
      <family val="2"/>
      <charset val="128"/>
      <scheme val="minor"/>
    </font>
    <font>
      <sz val="9"/>
      <color theme="5" tint="-0.249977111117893"/>
      <name val="ＭＳ Ｐゴシック"/>
      <family val="2"/>
      <charset val="128"/>
      <scheme val="minor"/>
    </font>
    <font>
      <sz val="11"/>
      <color theme="5" tint="-0.249977111117893"/>
      <name val="ＭＳ Ｐゴシック"/>
      <family val="3"/>
      <charset val="128"/>
      <scheme val="minor"/>
    </font>
    <font>
      <sz val="8"/>
      <color theme="0"/>
      <name val="ＭＳ Ｐゴシック"/>
      <family val="3"/>
      <charset val="128"/>
      <scheme val="minor"/>
    </font>
    <font>
      <b/>
      <u/>
      <sz val="11"/>
      <color theme="1"/>
      <name val="ＭＳ Ｐゴシック"/>
      <family val="3"/>
      <charset val="128"/>
      <scheme val="minor"/>
    </font>
    <font>
      <b/>
      <u/>
      <sz val="18"/>
      <color theme="5" tint="-0.249977111117893"/>
      <name val="ＭＳ Ｐゴシック"/>
      <family val="3"/>
      <charset val="128"/>
      <scheme val="minor"/>
    </font>
    <font>
      <b/>
      <u/>
      <sz val="11"/>
      <color theme="5" tint="-0.249977111117893"/>
      <name val="ＭＳ Ｐゴシック"/>
      <family val="3"/>
      <charset val="128"/>
      <scheme val="minor"/>
    </font>
    <font>
      <b/>
      <u/>
      <sz val="11"/>
      <name val="ＭＳ Ｐゴシック"/>
      <family val="3"/>
      <charset val="128"/>
      <scheme val="minor"/>
    </font>
    <font>
      <sz val="8"/>
      <color theme="5" tint="-0.249977111117893"/>
      <name val="ＭＳ Ｐゴシック"/>
      <family val="2"/>
      <charset val="128"/>
      <scheme val="minor"/>
    </font>
    <font>
      <sz val="9"/>
      <color rgb="FF000000"/>
      <name val="MS UI Gothic"/>
      <family val="3"/>
      <charset val="128"/>
    </font>
    <font>
      <sz val="9"/>
      <color rgb="FF000000"/>
      <name val="ＭＳ Ｐゴシック"/>
      <family val="3"/>
      <charset val="128"/>
    </font>
    <font>
      <sz val="8"/>
      <color theme="0"/>
      <name val="ＭＳ Ｐゴシック"/>
      <family val="2"/>
      <charset val="128"/>
      <scheme val="minor"/>
    </font>
    <font>
      <sz val="6"/>
      <name val="ＭＳ Ｐゴシック"/>
      <family val="3"/>
      <charset val="128"/>
    </font>
    <font>
      <sz val="11"/>
      <name val="ＭＳ Ｐゴシック"/>
      <family val="3"/>
      <charset val="128"/>
    </font>
    <font>
      <sz val="8"/>
      <name val="ＭＳ Ｐゴシック"/>
      <family val="2"/>
      <charset val="128"/>
    </font>
    <font>
      <sz val="8"/>
      <name val="ＭＳ Ｐゴシック"/>
      <family val="3"/>
      <charset val="128"/>
    </font>
    <font>
      <sz val="12"/>
      <name val="Times New Roman"/>
      <family val="1"/>
    </font>
    <font>
      <sz val="9"/>
      <name val="明朝体MT-M"/>
      <family val="3"/>
      <charset val="128"/>
    </font>
    <font>
      <sz val="14"/>
      <name val="ＭＳ 明朝"/>
      <family val="1"/>
      <charset val="128"/>
    </font>
  </fonts>
  <fills count="7">
    <fill>
      <patternFill patternType="none"/>
    </fill>
    <fill>
      <patternFill patternType="gray125"/>
    </fill>
    <fill>
      <patternFill patternType="solid">
        <fgColor rgb="FFFFFFCC"/>
        <bgColor indexed="64"/>
      </patternFill>
    </fill>
    <fill>
      <patternFill patternType="solid">
        <fgColor rgb="FF99FFCC"/>
        <bgColor indexed="64"/>
      </patternFill>
    </fill>
    <fill>
      <patternFill patternType="solid">
        <fgColor theme="5" tint="0.59999389629810485"/>
        <bgColor indexed="64"/>
      </patternFill>
    </fill>
    <fill>
      <patternFill patternType="solid">
        <fgColor theme="0" tint="-0.249977111117893"/>
        <bgColor indexed="22"/>
      </patternFill>
    </fill>
    <fill>
      <patternFill patternType="solid">
        <fgColor rgb="FFFFFFCC"/>
        <bgColor indexed="22"/>
      </patternFill>
    </fill>
  </fills>
  <borders count="18">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hair">
        <color auto="1"/>
      </top>
      <bottom/>
      <diagonal/>
    </border>
    <border>
      <left/>
      <right/>
      <top/>
      <bottom style="hair">
        <color auto="1"/>
      </bottom>
      <diagonal/>
    </border>
    <border>
      <left/>
      <right style="hair">
        <color auto="1"/>
      </right>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style="hair">
        <color auto="1"/>
      </left>
      <right/>
      <top/>
      <bottom/>
      <diagonal/>
    </border>
    <border>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alignment vertical="center"/>
    </xf>
    <xf numFmtId="0" fontId="16" fillId="0" borderId="0" applyNumberFormat="0" applyFill="0" applyBorder="0" applyAlignment="0" applyProtection="0">
      <alignment vertical="center"/>
    </xf>
    <xf numFmtId="0" fontId="32" fillId="0" borderId="0">
      <alignment vertical="center"/>
    </xf>
    <xf numFmtId="0" fontId="35" fillId="0" borderId="0"/>
    <xf numFmtId="0" fontId="36" fillId="0" borderId="0"/>
    <xf numFmtId="1" fontId="37" fillId="0" borderId="0"/>
  </cellStyleXfs>
  <cellXfs count="313">
    <xf numFmtId="0" fontId="0" fillId="0" borderId="0" xfId="0">
      <alignment vertical="center"/>
    </xf>
    <xf numFmtId="0" fontId="1" fillId="0" borderId="0" xfId="0" applyFont="1">
      <alignment vertical="center"/>
    </xf>
    <xf numFmtId="0" fontId="1" fillId="0" borderId="0" xfId="0" applyFont="1" applyBorder="1">
      <alignment vertical="center"/>
    </xf>
    <xf numFmtId="0" fontId="1" fillId="0" borderId="0" xfId="0" applyFont="1" applyBorder="1" applyAlignment="1">
      <alignment horizontal="center" vertical="center"/>
    </xf>
    <xf numFmtId="0" fontId="6" fillId="0" borderId="0" xfId="0" applyFont="1" applyBorder="1" applyAlignment="1">
      <alignment horizontal="center" vertical="center"/>
    </xf>
    <xf numFmtId="0" fontId="1" fillId="2" borderId="0" xfId="0" applyFont="1" applyFill="1">
      <alignment vertical="center"/>
    </xf>
    <xf numFmtId="0" fontId="1" fillId="2" borderId="0" xfId="0" applyFont="1" applyFill="1" applyBorder="1">
      <alignment vertical="center"/>
    </xf>
    <xf numFmtId="0" fontId="5" fillId="2" borderId="0" xfId="0" applyFont="1" applyFill="1">
      <alignment vertical="center"/>
    </xf>
    <xf numFmtId="0" fontId="6" fillId="2" borderId="0" xfId="0" applyFont="1" applyFill="1" applyBorder="1">
      <alignment vertical="center"/>
    </xf>
    <xf numFmtId="0" fontId="6" fillId="0" borderId="0" xfId="0" applyFont="1">
      <alignment vertical="center"/>
    </xf>
    <xf numFmtId="0" fontId="5" fillId="0" borderId="10" xfId="0" applyFont="1" applyFill="1" applyBorder="1" applyAlignment="1">
      <alignment horizontal="right" vertical="center"/>
    </xf>
    <xf numFmtId="0" fontId="5" fillId="0" borderId="13" xfId="0" applyFont="1" applyFill="1" applyBorder="1" applyAlignment="1">
      <alignment horizontal="right" vertical="center"/>
    </xf>
    <xf numFmtId="0" fontId="5" fillId="0" borderId="12" xfId="0" applyFont="1" applyFill="1" applyBorder="1" applyAlignment="1">
      <alignment horizontal="right" vertical="center"/>
    </xf>
    <xf numFmtId="0" fontId="0" fillId="0" borderId="0" xfId="0" applyFill="1" applyAlignment="1">
      <alignment vertical="center"/>
    </xf>
    <xf numFmtId="0" fontId="8" fillId="0" borderId="0" xfId="0" applyFont="1" applyAlignment="1">
      <alignment vertical="center"/>
    </xf>
    <xf numFmtId="0" fontId="8" fillId="0" borderId="10" xfId="0" applyFont="1" applyBorder="1" applyAlignment="1">
      <alignment horizontal="center" vertical="center"/>
    </xf>
    <xf numFmtId="0" fontId="9" fillId="0" borderId="5" xfId="0" applyFont="1" applyBorder="1" applyAlignment="1">
      <alignment horizontal="right" vertical="center"/>
    </xf>
    <xf numFmtId="0" fontId="8" fillId="0" borderId="5" xfId="0" applyFont="1" applyBorder="1" applyAlignment="1">
      <alignment horizontal="center" vertical="center"/>
    </xf>
    <xf numFmtId="0" fontId="10" fillId="0" borderId="0" xfId="0" applyFont="1" applyAlignment="1">
      <alignment vertical="center"/>
    </xf>
    <xf numFmtId="0" fontId="5" fillId="0" borderId="0" xfId="0" applyFont="1" applyFill="1" applyBorder="1" applyAlignment="1">
      <alignment vertical="center"/>
    </xf>
    <xf numFmtId="0" fontId="0" fillId="0" borderId="0" xfId="0" applyFill="1" applyAlignment="1">
      <alignment vertical="center"/>
    </xf>
    <xf numFmtId="0" fontId="18" fillId="0" borderId="0" xfId="0" applyFont="1" applyBorder="1">
      <alignment vertical="center"/>
    </xf>
    <xf numFmtId="0" fontId="13" fillId="0" borderId="0" xfId="0" applyFont="1" applyBorder="1" applyAlignment="1">
      <alignment horizontal="distributed" vertical="top" shrinkToFit="1"/>
    </xf>
    <xf numFmtId="0" fontId="13" fillId="0" borderId="0" xfId="0" applyFont="1" applyAlignment="1">
      <alignment horizontal="distributed" vertical="top" shrinkToFit="1"/>
    </xf>
    <xf numFmtId="0" fontId="0" fillId="0" borderId="0" xfId="0" applyAlignment="1">
      <alignment horizontal="distributed" vertical="center"/>
    </xf>
    <xf numFmtId="0" fontId="5" fillId="0" borderId="0" xfId="0" applyFont="1">
      <alignment vertical="center"/>
    </xf>
    <xf numFmtId="0" fontId="1" fillId="2" borderId="0" xfId="0" applyFont="1" applyFill="1" applyAlignment="1">
      <alignment horizontal="center" vertical="center"/>
    </xf>
    <xf numFmtId="0" fontId="1" fillId="2" borderId="15" xfId="0" applyFont="1" applyFill="1" applyBorder="1" applyAlignment="1">
      <alignment horizontal="center" vertical="center"/>
    </xf>
    <xf numFmtId="0" fontId="15" fillId="2" borderId="0" xfId="0" applyFont="1" applyFill="1">
      <alignment vertical="center"/>
    </xf>
    <xf numFmtId="0" fontId="1" fillId="4" borderId="0" xfId="0" applyFont="1" applyFill="1">
      <alignment vertical="center"/>
    </xf>
    <xf numFmtId="0" fontId="20" fillId="2" borderId="0" xfId="0" applyFont="1" applyFill="1" applyAlignment="1">
      <alignment horizontal="center" vertical="center"/>
    </xf>
    <xf numFmtId="0" fontId="5" fillId="0" borderId="0" xfId="0" applyFont="1" applyAlignment="1">
      <alignment horizontal="right" vertical="center"/>
    </xf>
    <xf numFmtId="0" fontId="15" fillId="0" borderId="0" xfId="0" applyFont="1">
      <alignment vertical="center"/>
    </xf>
    <xf numFmtId="0" fontId="15" fillId="0" borderId="0" xfId="0" applyFont="1" applyBorder="1">
      <alignment vertical="center"/>
    </xf>
    <xf numFmtId="0" fontId="15" fillId="2" borderId="0" xfId="0" applyFont="1" applyFill="1" applyBorder="1">
      <alignment vertical="center"/>
    </xf>
    <xf numFmtId="0" fontId="22" fillId="2" borderId="0" xfId="0" applyFont="1" applyFill="1" applyBorder="1">
      <alignment vertical="center"/>
    </xf>
    <xf numFmtId="0" fontId="23" fillId="2" borderId="0" xfId="0" applyFont="1" applyFill="1" applyAlignment="1"/>
    <xf numFmtId="0" fontId="27" fillId="2" borderId="0" xfId="0" applyFont="1" applyFill="1">
      <alignment vertical="center"/>
    </xf>
    <xf numFmtId="49" fontId="1" fillId="0" borderId="15" xfId="0" applyNumberFormat="1" applyFont="1" applyFill="1" applyBorder="1" applyAlignment="1" applyProtection="1">
      <alignment horizontal="center" vertical="center"/>
      <protection locked="0"/>
    </xf>
    <xf numFmtId="0" fontId="15" fillId="2" borderId="0" xfId="0" applyFont="1" applyFill="1" applyProtection="1">
      <alignment vertical="center"/>
      <protection locked="0"/>
    </xf>
    <xf numFmtId="0" fontId="30" fillId="2" borderId="0" xfId="0" applyFont="1" applyFill="1">
      <alignment vertical="center"/>
    </xf>
    <xf numFmtId="0" fontId="0" fillId="0" borderId="3" xfId="0" applyBorder="1" applyAlignment="1">
      <alignment vertical="center"/>
    </xf>
    <xf numFmtId="0" fontId="0" fillId="0" borderId="0" xfId="0" applyFill="1" applyAlignment="1">
      <alignment vertical="center"/>
    </xf>
    <xf numFmtId="0" fontId="1" fillId="0" borderId="0" xfId="0" applyFont="1" applyBorder="1" applyAlignment="1">
      <alignment horizontal="center" vertical="center"/>
    </xf>
    <xf numFmtId="0" fontId="9" fillId="0" borderId="5" xfId="0" applyFont="1" applyBorder="1" applyAlignment="1">
      <alignment horizontal="center" vertical="center"/>
    </xf>
    <xf numFmtId="0" fontId="16" fillId="2" borderId="0" xfId="1" applyFill="1" applyProtection="1">
      <alignment vertical="center"/>
      <protection locked="0"/>
    </xf>
    <xf numFmtId="0" fontId="0" fillId="0" borderId="0" xfId="0" applyFill="1" applyAlignment="1">
      <alignment vertical="center"/>
    </xf>
    <xf numFmtId="176" fontId="6" fillId="0" borderId="0" xfId="0" applyNumberFormat="1" applyFont="1" applyBorder="1" applyAlignment="1" applyProtection="1">
      <alignment horizontal="left" vertical="center"/>
      <protection locked="0"/>
    </xf>
    <xf numFmtId="0" fontId="9" fillId="0" borderId="5" xfId="0"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Protection="1">
      <alignment vertical="center"/>
    </xf>
    <xf numFmtId="0" fontId="5" fillId="0" borderId="2" xfId="0" applyFont="1" applyBorder="1" applyAlignment="1" applyProtection="1">
      <alignment vertical="center"/>
      <protection locked="0"/>
    </xf>
    <xf numFmtId="0" fontId="6" fillId="0" borderId="3" xfId="0" applyFont="1" applyBorder="1" applyAlignment="1" applyProtection="1">
      <alignment horizontal="left" vertical="center"/>
      <protection locked="0"/>
    </xf>
    <xf numFmtId="0" fontId="6" fillId="0" borderId="3" xfId="0" applyFont="1" applyBorder="1" applyAlignment="1" applyProtection="1">
      <alignment vertical="center"/>
      <protection locked="0"/>
    </xf>
    <xf numFmtId="0" fontId="6" fillId="0" borderId="4" xfId="0" applyFont="1" applyBorder="1" applyAlignment="1" applyProtection="1">
      <alignment vertical="center"/>
      <protection locked="0"/>
    </xf>
    <xf numFmtId="0" fontId="10" fillId="2" borderId="0" xfId="0" applyFont="1" applyFill="1" applyAlignment="1"/>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0" xfId="0" applyFont="1" applyBorder="1" applyAlignment="1" applyProtection="1">
      <alignment horizontal="center" vertical="center"/>
      <protection locked="0"/>
    </xf>
    <xf numFmtId="0" fontId="1" fillId="0" borderId="0" xfId="0" applyFont="1" applyBorder="1" applyAlignment="1" applyProtection="1">
      <alignment vertical="center" shrinkToFit="1"/>
      <protection locked="0"/>
    </xf>
    <xf numFmtId="0" fontId="0" fillId="0" borderId="0" xfId="0" applyAlignment="1" applyProtection="1">
      <alignment vertical="center" shrinkToFit="1"/>
      <protection locked="0"/>
    </xf>
    <xf numFmtId="0" fontId="5" fillId="0" borderId="0" xfId="0" applyNumberFormat="1" applyFont="1" applyBorder="1" applyAlignment="1">
      <alignment horizontal="right" vertical="center"/>
    </xf>
    <xf numFmtId="0" fontId="0" fillId="0" borderId="0" xfId="0" applyBorder="1" applyAlignment="1">
      <alignment horizontal="right" vertical="center"/>
    </xf>
    <xf numFmtId="0" fontId="1" fillId="0" borderId="0" xfId="0" applyFont="1" applyFill="1" applyBorder="1" applyAlignment="1">
      <alignment horizontal="center" vertical="center"/>
    </xf>
    <xf numFmtId="49" fontId="6" fillId="0" borderId="5" xfId="0" applyNumberFormat="1" applyFont="1" applyBorder="1" applyAlignment="1" applyProtection="1">
      <alignment horizontal="center" vertical="center"/>
      <protection locked="0"/>
    </xf>
    <xf numFmtId="0" fontId="6" fillId="0" borderId="5" xfId="0" applyNumberFormat="1" applyFont="1" applyBorder="1" applyAlignment="1" applyProtection="1">
      <alignment horizontal="center" vertical="center"/>
      <protection locked="0"/>
    </xf>
    <xf numFmtId="0" fontId="5" fillId="0" borderId="0" xfId="0" applyFont="1" applyAlignment="1">
      <alignment vertical="center"/>
    </xf>
    <xf numFmtId="0" fontId="5" fillId="2" borderId="0" xfId="0" applyFont="1" applyFill="1" applyAlignment="1">
      <alignment vertical="center"/>
    </xf>
    <xf numFmtId="179" fontId="34" fillId="2" borderId="1" xfId="0" applyNumberFormat="1" applyFont="1" applyFill="1" applyBorder="1" applyAlignment="1" applyProtection="1">
      <alignment vertical="center"/>
    </xf>
    <xf numFmtId="0" fontId="34" fillId="2" borderId="1" xfId="0" applyFont="1" applyFill="1" applyBorder="1" applyAlignment="1" applyProtection="1">
      <alignment horizontal="left" vertical="center"/>
    </xf>
    <xf numFmtId="0" fontId="34" fillId="2" borderId="1" xfId="2" applyFont="1" applyFill="1" applyBorder="1" applyAlignment="1" applyProtection="1">
      <alignment vertical="center"/>
    </xf>
    <xf numFmtId="49" fontId="33" fillId="5" borderId="1" xfId="0" applyNumberFormat="1" applyFont="1" applyFill="1" applyBorder="1" applyAlignment="1" applyProtection="1">
      <alignment horizontal="left" vertical="center"/>
    </xf>
    <xf numFmtId="49" fontId="34" fillId="5" borderId="1" xfId="0" applyNumberFormat="1" applyFont="1" applyFill="1" applyBorder="1" applyAlignment="1" applyProtection="1">
      <alignment horizontal="left" vertical="center"/>
    </xf>
    <xf numFmtId="5" fontId="34" fillId="5" borderId="1" xfId="0" applyNumberFormat="1" applyFont="1" applyFill="1" applyBorder="1" applyAlignment="1" applyProtection="1">
      <alignment horizontal="center" vertical="center"/>
    </xf>
    <xf numFmtId="49" fontId="34" fillId="2" borderId="0" xfId="0" applyNumberFormat="1" applyFont="1" applyFill="1" applyBorder="1" applyAlignment="1" applyProtection="1">
      <alignment horizontal="left" vertical="center"/>
    </xf>
    <xf numFmtId="179" fontId="34" fillId="2" borderId="0" xfId="0" applyNumberFormat="1" applyFont="1" applyFill="1" applyBorder="1" applyAlignment="1" applyProtection="1">
      <alignment vertical="center"/>
    </xf>
    <xf numFmtId="0" fontId="34" fillId="2" borderId="0" xfId="0" applyFont="1" applyFill="1" applyBorder="1" applyAlignment="1" applyProtection="1">
      <alignment horizontal="left" vertical="center"/>
    </xf>
    <xf numFmtId="49" fontId="33" fillId="6" borderId="0" xfId="0" applyNumberFormat="1" applyFont="1" applyFill="1" applyBorder="1" applyAlignment="1" applyProtection="1">
      <alignment horizontal="left" vertical="center"/>
    </xf>
    <xf numFmtId="49" fontId="34" fillId="6" borderId="0" xfId="0" applyNumberFormat="1" applyFont="1" applyFill="1" applyBorder="1" applyAlignment="1" applyProtection="1">
      <alignment horizontal="left" vertical="center"/>
    </xf>
    <xf numFmtId="5" fontId="34" fillId="6" borderId="0" xfId="0" applyNumberFormat="1" applyFont="1" applyFill="1" applyBorder="1" applyAlignment="1" applyProtection="1">
      <alignment horizontal="center" vertical="center"/>
    </xf>
    <xf numFmtId="0" fontId="0" fillId="0" borderId="6" xfId="0" applyFill="1" applyBorder="1" applyAlignment="1">
      <alignment vertical="center"/>
    </xf>
    <xf numFmtId="0" fontId="6" fillId="0" borderId="12" xfId="0" applyFont="1" applyFill="1" applyBorder="1" applyAlignment="1" applyProtection="1">
      <alignment horizontal="center" vertical="center"/>
      <protection locked="0"/>
    </xf>
    <xf numFmtId="0" fontId="0" fillId="0" borderId="6" xfId="0" applyFill="1" applyBorder="1" applyAlignment="1">
      <alignment horizontal="center" vertical="center"/>
    </xf>
    <xf numFmtId="0" fontId="6" fillId="0" borderId="6" xfId="0" applyFont="1" applyFill="1" applyBorder="1" applyAlignment="1" applyProtection="1">
      <alignment vertical="center"/>
      <protection locked="0"/>
    </xf>
    <xf numFmtId="0" fontId="5" fillId="0" borderId="2" xfId="0" applyFont="1" applyBorder="1" applyAlignment="1" applyProtection="1">
      <alignment vertical="center"/>
    </xf>
    <xf numFmtId="0" fontId="6" fillId="0" borderId="3" xfId="0" applyFont="1" applyBorder="1" applyAlignment="1" applyProtection="1">
      <alignment horizontal="left" vertical="center"/>
    </xf>
    <xf numFmtId="0" fontId="6" fillId="0" borderId="3" xfId="0" applyFont="1" applyBorder="1" applyAlignment="1" applyProtection="1">
      <alignment vertical="center"/>
    </xf>
    <xf numFmtId="0" fontId="6" fillId="0" borderId="4" xfId="0" applyFont="1" applyBorder="1" applyAlignment="1" applyProtection="1">
      <alignment vertical="center"/>
    </xf>
    <xf numFmtId="0" fontId="5" fillId="0" borderId="12" xfId="0" applyFont="1" applyFill="1" applyBorder="1" applyAlignment="1">
      <alignment horizontal="right" vertical="top"/>
    </xf>
    <xf numFmtId="0" fontId="34" fillId="2" borderId="1" xfId="2" applyFont="1" applyFill="1" applyBorder="1" applyAlignment="1" applyProtection="1">
      <alignment horizontal="left" vertical="center"/>
    </xf>
    <xf numFmtId="0" fontId="34" fillId="2" borderId="1" xfId="0" applyFont="1" applyFill="1" applyBorder="1" applyAlignment="1" applyProtection="1">
      <alignment vertical="center"/>
    </xf>
    <xf numFmtId="180" fontId="1" fillId="0" borderId="1" xfId="0" applyNumberFormat="1" applyFont="1" applyBorder="1" applyAlignment="1" applyProtection="1">
      <alignment horizontal="center" vertical="center" shrinkToFit="1"/>
      <protection locked="0"/>
    </xf>
    <xf numFmtId="180" fontId="0" fillId="0" borderId="1" xfId="0" applyNumberFormat="1" applyBorder="1" applyAlignment="1" applyProtection="1">
      <alignment horizontal="center" vertical="center" shrinkToFit="1"/>
      <protection locked="0"/>
    </xf>
    <xf numFmtId="179" fontId="1" fillId="0" borderId="2" xfId="0" applyNumberFormat="1" applyFont="1" applyBorder="1" applyAlignment="1">
      <alignment vertical="center" shrinkToFit="1"/>
    </xf>
    <xf numFmtId="179" fontId="0" fillId="0" borderId="3" xfId="0" applyNumberFormat="1" applyBorder="1" applyAlignment="1">
      <alignment vertical="center" shrinkToFit="1"/>
    </xf>
    <xf numFmtId="179" fontId="0" fillId="0" borderId="4" xfId="0" applyNumberFormat="1" applyBorder="1" applyAlignment="1">
      <alignment vertical="center" shrinkToFit="1"/>
    </xf>
    <xf numFmtId="0" fontId="6" fillId="0" borderId="1" xfId="0" applyFont="1" applyBorder="1" applyAlignment="1" applyProtection="1">
      <alignment vertical="center" shrinkToFit="1"/>
      <protection locked="0"/>
    </xf>
    <xf numFmtId="0" fontId="6" fillId="0" borderId="1" xfId="0" applyFont="1" applyBorder="1" applyAlignment="1" applyProtection="1">
      <alignment horizontal="left" vertical="center" shrinkToFit="1"/>
      <protection locked="0"/>
    </xf>
    <xf numFmtId="179" fontId="1" fillId="0" borderId="2" xfId="0" applyNumberFormat="1" applyFont="1" applyBorder="1" applyAlignment="1" applyProtection="1">
      <alignment vertical="center" shrinkToFit="1"/>
      <protection locked="0"/>
    </xf>
    <xf numFmtId="179" fontId="0" fillId="0" borderId="3" xfId="0" applyNumberFormat="1" applyBorder="1" applyAlignment="1" applyProtection="1">
      <alignment vertical="center" shrinkToFit="1"/>
      <protection locked="0"/>
    </xf>
    <xf numFmtId="0" fontId="0" fillId="0" borderId="4" xfId="0" applyBorder="1" applyAlignment="1" applyProtection="1">
      <alignment vertical="center" shrinkToFit="1"/>
      <protection locked="0"/>
    </xf>
    <xf numFmtId="0" fontId="1" fillId="4" borderId="15" xfId="0" applyFont="1" applyFill="1" applyBorder="1" applyAlignment="1">
      <alignment vertical="center"/>
    </xf>
    <xf numFmtId="0" fontId="0" fillId="4" borderId="15" xfId="0" applyFill="1" applyBorder="1" applyAlignment="1">
      <alignment vertical="center"/>
    </xf>
    <xf numFmtId="49" fontId="1" fillId="0" borderId="16" xfId="0" applyNumberFormat="1" applyFont="1" applyFill="1" applyBorder="1" applyAlignment="1" applyProtection="1">
      <alignment horizontal="center" vertical="center"/>
      <protection locked="0"/>
    </xf>
    <xf numFmtId="49" fontId="0" fillId="0" borderId="17" xfId="0" applyNumberFormat="1" applyFill="1" applyBorder="1" applyAlignment="1" applyProtection="1">
      <alignment horizontal="center" vertical="center"/>
      <protection locked="0"/>
    </xf>
    <xf numFmtId="0" fontId="20" fillId="2" borderId="0" xfId="0" applyFont="1" applyFill="1" applyAlignment="1">
      <alignment vertical="center" wrapText="1"/>
    </xf>
    <xf numFmtId="0" fontId="21" fillId="0" borderId="0" xfId="0" applyFont="1" applyAlignment="1">
      <alignment vertical="center" wrapText="1"/>
    </xf>
    <xf numFmtId="0" fontId="21" fillId="0" borderId="0" xfId="0" applyFont="1" applyAlignment="1">
      <alignment vertical="center"/>
    </xf>
    <xf numFmtId="0" fontId="18" fillId="0" borderId="0" xfId="0" applyFont="1" applyBorder="1" applyAlignment="1">
      <alignment vertical="center"/>
    </xf>
    <xf numFmtId="0" fontId="0" fillId="0" borderId="0" xfId="0" applyAlignment="1">
      <alignment vertical="center"/>
    </xf>
    <xf numFmtId="0" fontId="17" fillId="0" borderId="0" xfId="0" applyFont="1" applyBorder="1" applyAlignment="1">
      <alignment horizontal="center" vertical="center" wrapText="1"/>
    </xf>
    <xf numFmtId="0" fontId="18" fillId="0" borderId="0" xfId="0" applyFont="1" applyAlignment="1">
      <alignment vertical="center"/>
    </xf>
    <xf numFmtId="0" fontId="19" fillId="0" borderId="0" xfId="0" applyFont="1" applyBorder="1" applyAlignment="1" applyProtection="1">
      <alignment horizontal="distributed" vertical="center" shrinkToFit="1"/>
      <protection locked="0"/>
    </xf>
    <xf numFmtId="0" fontId="0" fillId="0" borderId="0" xfId="0" applyAlignment="1" applyProtection="1">
      <alignment horizontal="distributed" vertical="center"/>
      <protection locked="0"/>
    </xf>
    <xf numFmtId="0" fontId="5" fillId="0" borderId="1" xfId="0" applyFont="1" applyFill="1" applyBorder="1" applyAlignment="1" applyProtection="1">
      <alignment vertical="center" shrinkToFit="1"/>
      <protection locked="0"/>
    </xf>
    <xf numFmtId="0" fontId="0" fillId="0" borderId="1" xfId="0" applyBorder="1" applyAlignment="1" applyProtection="1">
      <alignment vertical="center" shrinkToFit="1"/>
      <protection locked="0"/>
    </xf>
    <xf numFmtId="0" fontId="5" fillId="3" borderId="1" xfId="0" applyFont="1" applyFill="1" applyBorder="1" applyAlignment="1">
      <alignment horizontal="center" vertical="center"/>
    </xf>
    <xf numFmtId="0" fontId="0" fillId="3" borderId="1" xfId="0" applyFill="1" applyBorder="1" applyAlignment="1">
      <alignment horizontal="center" vertical="center"/>
    </xf>
    <xf numFmtId="0" fontId="6" fillId="3" borderId="2" xfId="0" applyFont="1" applyFill="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6" fillId="3" borderId="2"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5" fillId="0" borderId="2" xfId="0" applyFont="1" applyBorder="1" applyAlignment="1" applyProtection="1">
      <alignment horizontal="left" vertical="center" indent="1"/>
      <protection locked="0"/>
    </xf>
    <xf numFmtId="0" fontId="0" fillId="0" borderId="3" xfId="0" applyBorder="1" applyAlignment="1" applyProtection="1">
      <alignment horizontal="left" vertical="center" indent="1"/>
      <protection locked="0"/>
    </xf>
    <xf numFmtId="0" fontId="0" fillId="0" borderId="4" xfId="0" applyBorder="1" applyAlignment="1" applyProtection="1">
      <alignment horizontal="left" vertical="center" indent="1"/>
      <protection locked="0"/>
    </xf>
    <xf numFmtId="0" fontId="6" fillId="0" borderId="2" xfId="0" applyFont="1" applyBorder="1" applyAlignment="1" applyProtection="1">
      <alignment horizontal="left" vertical="center" shrinkToFit="1"/>
      <protection locked="0"/>
    </xf>
    <xf numFmtId="0" fontId="6" fillId="0" borderId="3" xfId="0" applyFont="1" applyBorder="1" applyAlignment="1" applyProtection="1">
      <alignment horizontal="left" vertical="center" shrinkToFit="1"/>
      <protection locked="0"/>
    </xf>
    <xf numFmtId="0" fontId="6" fillId="0" borderId="4" xfId="0" applyFont="1" applyBorder="1" applyAlignment="1" applyProtection="1">
      <alignment horizontal="left" vertical="center" shrinkToFit="1"/>
      <protection locked="0"/>
    </xf>
    <xf numFmtId="0" fontId="5" fillId="0" borderId="0" xfId="0" applyFont="1" applyFill="1" applyBorder="1" applyAlignment="1">
      <alignment vertical="center"/>
    </xf>
    <xf numFmtId="0" fontId="0" fillId="0" borderId="0" xfId="0" applyFill="1" applyBorder="1" applyAlignment="1">
      <alignment vertical="center"/>
    </xf>
    <xf numFmtId="0" fontId="0" fillId="0" borderId="0" xfId="0" applyFill="1" applyAlignment="1">
      <alignment vertical="center"/>
    </xf>
    <xf numFmtId="0" fontId="5" fillId="0" borderId="0" xfId="0" quotePrefix="1" applyFont="1" applyFill="1" applyAlignment="1">
      <alignment horizontal="left" vertical="center"/>
    </xf>
    <xf numFmtId="0" fontId="6" fillId="0" borderId="0" xfId="0" applyFont="1" applyAlignment="1">
      <alignment horizontal="left" vertical="center"/>
    </xf>
    <xf numFmtId="177" fontId="1" fillId="0" borderId="2" xfId="0" applyNumberFormat="1" applyFont="1" applyBorder="1" applyAlignment="1">
      <alignment horizontal="right" vertical="center" shrinkToFit="1"/>
    </xf>
    <xf numFmtId="0" fontId="0" fillId="0" borderId="3" xfId="0" applyBorder="1" applyAlignment="1">
      <alignment horizontal="right" vertical="center"/>
    </xf>
    <xf numFmtId="0" fontId="0" fillId="0" borderId="4" xfId="0" applyBorder="1" applyAlignment="1">
      <alignment horizontal="right" vertical="center"/>
    </xf>
    <xf numFmtId="0" fontId="6" fillId="0" borderId="5" xfId="0" applyFont="1" applyFill="1" applyBorder="1" applyAlignment="1">
      <alignment vertical="center"/>
    </xf>
    <xf numFmtId="0" fontId="0" fillId="0" borderId="5" xfId="0" applyFill="1" applyBorder="1" applyAlignment="1">
      <alignment vertical="center"/>
    </xf>
    <xf numFmtId="0" fontId="0" fillId="0" borderId="11" xfId="0" applyFill="1" applyBorder="1" applyAlignment="1">
      <alignment vertical="center"/>
    </xf>
    <xf numFmtId="0" fontId="6" fillId="0" borderId="0" xfId="0" applyFont="1" applyFill="1" applyBorder="1" applyAlignment="1">
      <alignment vertical="center"/>
    </xf>
    <xf numFmtId="0" fontId="0" fillId="0" borderId="14" xfId="0" applyFill="1" applyBorder="1" applyAlignment="1">
      <alignment vertical="center"/>
    </xf>
    <xf numFmtId="0" fontId="5" fillId="0" borderId="10" xfId="0" applyFont="1" applyBorder="1" applyAlignment="1">
      <alignment vertical="center" wrapText="1"/>
    </xf>
    <xf numFmtId="0" fontId="6" fillId="0" borderId="5" xfId="0" applyFont="1" applyBorder="1" applyAlignment="1">
      <alignment vertical="center" wrapText="1"/>
    </xf>
    <xf numFmtId="0" fontId="6" fillId="0" borderId="11" xfId="0" applyFont="1" applyBorder="1" applyAlignment="1">
      <alignment vertical="center" wrapText="1"/>
    </xf>
    <xf numFmtId="0" fontId="6" fillId="0" borderId="12" xfId="0" applyFont="1" applyBorder="1" applyAlignment="1">
      <alignment vertical="center" wrapText="1"/>
    </xf>
    <xf numFmtId="0" fontId="6" fillId="0" borderId="6" xfId="0" applyFont="1" applyBorder="1" applyAlignment="1">
      <alignment vertical="center" wrapText="1"/>
    </xf>
    <xf numFmtId="0" fontId="6" fillId="0" borderId="7" xfId="0" applyFont="1" applyBorder="1" applyAlignment="1">
      <alignment vertical="center" wrapText="1"/>
    </xf>
    <xf numFmtId="0" fontId="6" fillId="3" borderId="8" xfId="0" applyFont="1" applyFill="1" applyBorder="1" applyAlignment="1">
      <alignment horizontal="center" vertical="center"/>
    </xf>
    <xf numFmtId="0" fontId="6" fillId="0" borderId="9" xfId="0" applyFont="1" applyBorder="1" applyAlignment="1">
      <alignment horizontal="center" vertical="center"/>
    </xf>
    <xf numFmtId="0" fontId="5"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1" fillId="0" borderId="2" xfId="0" applyFont="1" applyBorder="1" applyAlignment="1">
      <alignment vertical="center" shrinkToFit="1"/>
    </xf>
    <xf numFmtId="0" fontId="0" fillId="0" borderId="3" xfId="0" applyBorder="1" applyAlignment="1">
      <alignment vertical="center" shrinkToFit="1"/>
    </xf>
    <xf numFmtId="0" fontId="1" fillId="0" borderId="3" xfId="0" applyFont="1" applyBorder="1" applyAlignment="1">
      <alignment vertical="center" shrinkToFit="1"/>
    </xf>
    <xf numFmtId="179" fontId="1" fillId="0" borderId="3" xfId="0" applyNumberFormat="1" applyFont="1" applyBorder="1" applyAlignment="1">
      <alignment vertical="center" shrinkToFit="1"/>
    </xf>
    <xf numFmtId="177" fontId="1" fillId="0" borderId="3" xfId="0" applyNumberFormat="1" applyFont="1" applyBorder="1" applyAlignment="1">
      <alignment horizontal="center" vertical="center" shrinkToFit="1"/>
    </xf>
    <xf numFmtId="177" fontId="0" fillId="0" borderId="3" xfId="0" applyNumberFormat="1" applyBorder="1" applyAlignment="1">
      <alignment horizontal="center" vertical="center" shrinkToFit="1"/>
    </xf>
    <xf numFmtId="0" fontId="6" fillId="3" borderId="2" xfId="0" applyFont="1" applyFill="1" applyBorder="1" applyAlignment="1">
      <alignment horizontal="left" vertical="center"/>
    </xf>
    <xf numFmtId="179" fontId="6" fillId="3" borderId="1" xfId="0" applyNumberFormat="1" applyFont="1" applyFill="1" applyBorder="1" applyAlignment="1">
      <alignment horizontal="center" vertical="center" shrinkToFit="1"/>
    </xf>
    <xf numFmtId="0" fontId="6" fillId="3" borderId="1" xfId="0" applyFont="1" applyFill="1" applyBorder="1" applyAlignment="1">
      <alignment horizontal="center" vertical="center" shrinkToFit="1"/>
    </xf>
    <xf numFmtId="177" fontId="6" fillId="3" borderId="1" xfId="0" applyNumberFormat="1" applyFont="1" applyFill="1" applyBorder="1" applyAlignment="1">
      <alignment horizontal="center" vertical="center" shrinkToFit="1"/>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1" xfId="0" applyFont="1" applyBorder="1" applyAlignment="1">
      <alignment horizontal="right" vertical="center"/>
    </xf>
    <xf numFmtId="0" fontId="6" fillId="0" borderId="2" xfId="0" applyFont="1" applyBorder="1" applyAlignment="1">
      <alignment horizontal="right" vertical="center"/>
    </xf>
    <xf numFmtId="0" fontId="5" fillId="0" borderId="5" xfId="0" applyFont="1" applyBorder="1" applyAlignment="1">
      <alignment vertical="center"/>
    </xf>
    <xf numFmtId="0" fontId="6" fillId="0" borderId="5" xfId="0" applyFont="1" applyBorder="1" applyAlignment="1">
      <alignment vertical="center"/>
    </xf>
    <xf numFmtId="0" fontId="6" fillId="0" borderId="0" xfId="0" applyFont="1" applyBorder="1" applyAlignment="1">
      <alignment vertical="center" wrapText="1"/>
    </xf>
    <xf numFmtId="0" fontId="6" fillId="0" borderId="0" xfId="0" applyFont="1" applyBorder="1" applyAlignment="1">
      <alignment vertical="center"/>
    </xf>
    <xf numFmtId="0" fontId="5"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4" xfId="0" applyFont="1" applyFill="1" applyBorder="1" applyAlignment="1">
      <alignment horizontal="center" vertical="center"/>
    </xf>
    <xf numFmtId="0" fontId="6" fillId="0" borderId="6" xfId="0" applyFont="1" applyFill="1" applyBorder="1" applyAlignment="1">
      <alignment vertical="top" wrapText="1"/>
    </xf>
    <xf numFmtId="0" fontId="0" fillId="0" borderId="6" xfId="0" applyFill="1" applyBorder="1" applyAlignment="1">
      <alignment vertical="top"/>
    </xf>
    <xf numFmtId="0" fontId="0" fillId="0" borderId="7" xfId="0" applyFill="1" applyBorder="1" applyAlignment="1">
      <alignment vertical="top"/>
    </xf>
    <xf numFmtId="0" fontId="6" fillId="0" borderId="0" xfId="0" applyFont="1" applyFill="1" applyBorder="1" applyAlignment="1">
      <alignment vertical="center" wrapText="1"/>
    </xf>
    <xf numFmtId="0" fontId="0" fillId="0" borderId="0" xfId="0" applyFill="1" applyBorder="1" applyAlignment="1">
      <alignment vertical="center" wrapText="1"/>
    </xf>
    <xf numFmtId="0" fontId="0" fillId="0" borderId="14" xfId="0" applyFill="1" applyBorder="1" applyAlignment="1">
      <alignment vertical="center" wrapText="1"/>
    </xf>
    <xf numFmtId="0" fontId="0" fillId="0" borderId="0" xfId="0" applyAlignment="1">
      <alignment vertical="center" wrapText="1"/>
    </xf>
    <xf numFmtId="0" fontId="0" fillId="0" borderId="14" xfId="0" applyBorder="1" applyAlignment="1">
      <alignment vertical="center" wrapText="1"/>
    </xf>
    <xf numFmtId="0" fontId="14" fillId="0" borderId="0" xfId="0" applyFont="1" applyBorder="1" applyAlignment="1" applyProtection="1">
      <alignment vertical="center" shrinkToFit="1"/>
      <protection locked="0"/>
    </xf>
    <xf numFmtId="0" fontId="7" fillId="0" borderId="0" xfId="0" applyFont="1" applyBorder="1" applyAlignment="1" applyProtection="1">
      <alignment vertical="center" shrinkToFit="1"/>
      <protection locked="0"/>
    </xf>
    <xf numFmtId="0" fontId="3" fillId="0" borderId="0" xfId="0" applyNumberFormat="1" applyFont="1" applyBorder="1" applyAlignment="1">
      <alignment horizontal="center" vertical="center"/>
    </xf>
    <xf numFmtId="0" fontId="4" fillId="0" borderId="0" xfId="0" applyNumberFormat="1" applyFont="1" applyBorder="1" applyAlignment="1">
      <alignment horizontal="center" vertical="center"/>
    </xf>
    <xf numFmtId="176" fontId="6" fillId="0" borderId="0" xfId="0" applyNumberFormat="1" applyFont="1" applyBorder="1" applyAlignment="1" applyProtection="1">
      <alignment horizontal="left" vertical="center"/>
      <protection locked="0"/>
    </xf>
    <xf numFmtId="176" fontId="6" fillId="0" borderId="0" xfId="0" applyNumberFormat="1" applyFont="1" applyBorder="1" applyAlignment="1">
      <alignment horizontal="left" vertical="center"/>
    </xf>
    <xf numFmtId="0" fontId="5" fillId="0" borderId="0" xfId="0" applyNumberFormat="1" applyFont="1" applyBorder="1" applyAlignment="1">
      <alignment horizontal="distributed" vertical="center"/>
    </xf>
    <xf numFmtId="0" fontId="0" fillId="0" borderId="0" xfId="0" applyBorder="1" applyAlignment="1">
      <alignment horizontal="distributed" vertical="center"/>
    </xf>
    <xf numFmtId="178" fontId="1" fillId="0" borderId="2" xfId="0" applyNumberFormat="1" applyFont="1" applyBorder="1" applyAlignment="1">
      <alignment horizontal="center" vertical="center"/>
    </xf>
    <xf numFmtId="178" fontId="0" fillId="0" borderId="3" xfId="0" applyNumberFormat="1" applyBorder="1" applyAlignment="1">
      <alignment horizontal="center" vertical="center"/>
    </xf>
    <xf numFmtId="0" fontId="6" fillId="3" borderId="1" xfId="0" applyFont="1" applyFill="1" applyBorder="1" applyAlignment="1">
      <alignment horizontal="center" vertical="center"/>
    </xf>
    <xf numFmtId="0" fontId="5" fillId="0"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4" xfId="0" applyFont="1" applyBorder="1" applyAlignment="1">
      <alignment vertical="center"/>
    </xf>
    <xf numFmtId="0" fontId="6" fillId="0" borderId="1" xfId="0" applyFont="1" applyBorder="1" applyAlignment="1">
      <alignment vertical="center"/>
    </xf>
    <xf numFmtId="0" fontId="5"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0" fontId="1" fillId="0" borderId="13" xfId="0" applyFont="1" applyBorder="1" applyAlignment="1">
      <alignment vertical="center"/>
    </xf>
    <xf numFmtId="0" fontId="0" fillId="0" borderId="0" xfId="0" applyBorder="1" applyAlignment="1">
      <alignment vertical="center"/>
    </xf>
    <xf numFmtId="0" fontId="0" fillId="0" borderId="5"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8" fillId="0" borderId="5" xfId="0" applyFont="1" applyBorder="1" applyAlignment="1">
      <alignment vertical="center" wrapText="1"/>
    </xf>
    <xf numFmtId="0" fontId="1" fillId="0" borderId="3" xfId="0" applyFont="1" applyBorder="1" applyAlignment="1">
      <alignment vertical="center"/>
    </xf>
    <xf numFmtId="0" fontId="0" fillId="0" borderId="14" xfId="0" applyBorder="1" applyAlignment="1">
      <alignment vertical="center"/>
    </xf>
    <xf numFmtId="0" fontId="6" fillId="3" borderId="1" xfId="0" applyFont="1" applyFill="1" applyBorder="1" applyAlignment="1">
      <alignment vertical="center"/>
    </xf>
    <xf numFmtId="0" fontId="8" fillId="0" borderId="8" xfId="0" applyFont="1" applyBorder="1" applyAlignment="1">
      <alignment horizontal="center" vertical="center"/>
    </xf>
    <xf numFmtId="0" fontId="9" fillId="0" borderId="10" xfId="0" applyFont="1" applyBorder="1" applyAlignment="1">
      <alignment horizontal="center" vertical="center"/>
    </xf>
    <xf numFmtId="0" fontId="1" fillId="3" borderId="2" xfId="0" applyFont="1" applyFill="1" applyBorder="1" applyAlignment="1">
      <alignment horizontal="center" vertical="center"/>
    </xf>
    <xf numFmtId="0" fontId="0" fillId="3" borderId="3" xfId="0" applyFill="1" applyBorder="1" applyAlignment="1">
      <alignment vertical="center"/>
    </xf>
    <xf numFmtId="0" fontId="0" fillId="3" borderId="4" xfId="0" applyFill="1" applyBorder="1" applyAlignment="1">
      <alignment vertical="center"/>
    </xf>
    <xf numFmtId="0" fontId="11" fillId="0" borderId="1" xfId="0" applyFont="1" applyBorder="1" applyAlignment="1">
      <alignment horizontal="center" vertical="center"/>
    </xf>
    <xf numFmtId="0" fontId="12" fillId="0" borderId="1" xfId="0" applyFont="1" applyBorder="1" applyAlignment="1">
      <alignment horizontal="center" vertical="center"/>
    </xf>
    <xf numFmtId="0" fontId="0" fillId="0" borderId="10" xfId="0" applyBorder="1" applyAlignment="1">
      <alignment vertical="center"/>
    </xf>
    <xf numFmtId="0" fontId="0" fillId="0" borderId="13" xfId="0" applyBorder="1" applyAlignment="1">
      <alignment vertical="center"/>
    </xf>
    <xf numFmtId="0" fontId="5" fillId="0" borderId="2" xfId="0" applyFont="1" applyBorder="1" applyAlignment="1" applyProtection="1">
      <alignment horizontal="left" vertical="center" indent="1"/>
    </xf>
    <xf numFmtId="0" fontId="0" fillId="0" borderId="3" xfId="0" applyBorder="1" applyAlignment="1" applyProtection="1">
      <alignment horizontal="left" vertical="center" indent="1"/>
    </xf>
    <xf numFmtId="0" fontId="0" fillId="0" borderId="4" xfId="0" applyBorder="1" applyAlignment="1" applyProtection="1">
      <alignment horizontal="left" vertical="center" indent="1"/>
    </xf>
    <xf numFmtId="179" fontId="1" fillId="0" borderId="2" xfId="0" applyNumberFormat="1" applyFont="1" applyBorder="1" applyAlignment="1" applyProtection="1">
      <alignment vertical="center" shrinkToFit="1"/>
    </xf>
    <xf numFmtId="179" fontId="0" fillId="0" borderId="3" xfId="0" applyNumberFormat="1" applyBorder="1" applyAlignment="1" applyProtection="1">
      <alignment vertical="center" shrinkToFit="1"/>
    </xf>
    <xf numFmtId="0" fontId="0" fillId="0" borderId="4" xfId="0" applyBorder="1" applyAlignment="1" applyProtection="1">
      <alignment vertical="center" shrinkToFit="1"/>
    </xf>
    <xf numFmtId="180" fontId="1" fillId="0" borderId="1" xfId="0" applyNumberFormat="1" applyFont="1" applyBorder="1" applyAlignment="1" applyProtection="1">
      <alignment horizontal="center" vertical="center" shrinkToFit="1"/>
    </xf>
    <xf numFmtId="180" fontId="0" fillId="0" borderId="1" xfId="0" applyNumberFormat="1" applyBorder="1" applyAlignment="1" applyProtection="1">
      <alignment horizontal="center" vertical="center" shrinkToFit="1"/>
    </xf>
    <xf numFmtId="179" fontId="0" fillId="0" borderId="4" xfId="0" applyNumberFormat="1" applyBorder="1" applyAlignment="1" applyProtection="1">
      <alignment vertical="center" shrinkToFit="1"/>
    </xf>
    <xf numFmtId="177" fontId="1" fillId="0" borderId="2" xfId="0" applyNumberFormat="1" applyFont="1" applyBorder="1" applyAlignment="1" applyProtection="1">
      <alignment horizontal="right" vertical="center" shrinkToFit="1"/>
    </xf>
    <xf numFmtId="0" fontId="0" fillId="0" borderId="3" xfId="0" applyBorder="1" applyAlignment="1" applyProtection="1">
      <alignment horizontal="right" vertical="center"/>
    </xf>
    <xf numFmtId="0" fontId="0" fillId="0" borderId="4" xfId="0" applyBorder="1" applyAlignment="1" applyProtection="1">
      <alignment horizontal="right" vertical="center"/>
    </xf>
    <xf numFmtId="0" fontId="6" fillId="3" borderId="2" xfId="0" applyFont="1" applyFill="1" applyBorder="1" applyAlignment="1" applyProtection="1">
      <alignment vertical="center"/>
    </xf>
    <xf numFmtId="0" fontId="0" fillId="0" borderId="3" xfId="0" applyBorder="1" applyAlignment="1" applyProtection="1">
      <alignment vertical="center"/>
    </xf>
    <xf numFmtId="0" fontId="0" fillId="0" borderId="4" xfId="0" applyBorder="1" applyAlignment="1" applyProtection="1">
      <alignment vertical="center"/>
    </xf>
    <xf numFmtId="0" fontId="6" fillId="3" borderId="2" xfId="0" applyFont="1" applyFill="1"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179" fontId="6" fillId="3" borderId="1" xfId="0" applyNumberFormat="1" applyFont="1" applyFill="1" applyBorder="1" applyAlignment="1" applyProtection="1">
      <alignment horizontal="center" vertical="center" shrinkToFit="1"/>
    </xf>
    <xf numFmtId="0" fontId="6" fillId="3" borderId="1" xfId="0" applyFont="1" applyFill="1" applyBorder="1" applyAlignment="1" applyProtection="1">
      <alignment horizontal="center" vertical="center" shrinkToFit="1"/>
    </xf>
    <xf numFmtId="177" fontId="6" fillId="3" borderId="1" xfId="0" applyNumberFormat="1" applyFont="1" applyFill="1" applyBorder="1" applyAlignment="1" applyProtection="1">
      <alignment horizontal="center" vertical="center" shrinkToFit="1"/>
    </xf>
    <xf numFmtId="0" fontId="6" fillId="3" borderId="2" xfId="0" applyFont="1" applyFill="1" applyBorder="1" applyAlignment="1" applyProtection="1">
      <alignment horizontal="left" vertical="center"/>
    </xf>
    <xf numFmtId="0" fontId="6" fillId="3" borderId="3" xfId="0" applyFont="1" applyFill="1" applyBorder="1" applyAlignment="1" applyProtection="1">
      <alignment horizontal="left" vertical="center"/>
    </xf>
    <xf numFmtId="0" fontId="6" fillId="3" borderId="4" xfId="0" applyFont="1" applyFill="1" applyBorder="1" applyAlignment="1" applyProtection="1">
      <alignment horizontal="left" vertical="center"/>
    </xf>
    <xf numFmtId="0" fontId="1" fillId="0" borderId="2" xfId="0" applyFont="1" applyBorder="1" applyAlignment="1" applyProtection="1">
      <alignment vertical="center" shrinkToFit="1"/>
    </xf>
    <xf numFmtId="0" fontId="0" fillId="0" borderId="3" xfId="0" applyBorder="1" applyAlignment="1" applyProtection="1">
      <alignment vertical="center" shrinkToFit="1"/>
    </xf>
    <xf numFmtId="0" fontId="1" fillId="0" borderId="3" xfId="0" applyFont="1" applyBorder="1" applyAlignment="1" applyProtection="1">
      <alignment vertical="center" shrinkToFit="1"/>
    </xf>
    <xf numFmtId="179" fontId="1" fillId="0" borderId="3" xfId="0" applyNumberFormat="1" applyFont="1" applyBorder="1" applyAlignment="1" applyProtection="1">
      <alignment vertical="center" shrinkToFit="1"/>
    </xf>
    <xf numFmtId="177" fontId="1" fillId="0" borderId="3" xfId="0" applyNumberFormat="1" applyFont="1" applyBorder="1" applyAlignment="1" applyProtection="1">
      <alignment horizontal="center" vertical="center" shrinkToFit="1"/>
    </xf>
    <xf numFmtId="177" fontId="0" fillId="0" borderId="3" xfId="0" applyNumberFormat="1" applyBorder="1" applyAlignment="1" applyProtection="1">
      <alignment horizontal="center" vertical="center" shrinkToFit="1"/>
    </xf>
    <xf numFmtId="0" fontId="6" fillId="0" borderId="1" xfId="0" applyFont="1" applyBorder="1" applyAlignment="1" applyProtection="1">
      <alignment vertical="center" shrinkToFit="1"/>
    </xf>
    <xf numFmtId="0" fontId="6" fillId="0" borderId="2" xfId="0" applyFont="1" applyBorder="1" applyAlignment="1" applyProtection="1">
      <alignment horizontal="left" vertical="center" shrinkToFit="1"/>
    </xf>
    <xf numFmtId="0" fontId="6" fillId="0" borderId="3" xfId="0" applyFont="1" applyBorder="1" applyAlignment="1" applyProtection="1">
      <alignment horizontal="left" vertical="center" shrinkToFit="1"/>
    </xf>
    <xf numFmtId="0" fontId="6" fillId="0" borderId="4" xfId="0" applyFont="1" applyBorder="1" applyAlignment="1" applyProtection="1">
      <alignment horizontal="left" vertical="center" shrinkToFit="1"/>
    </xf>
    <xf numFmtId="0" fontId="5" fillId="3" borderId="2" xfId="0" applyFont="1" applyFill="1" applyBorder="1" applyAlignment="1" applyProtection="1">
      <alignment horizontal="left" vertical="center"/>
    </xf>
    <xf numFmtId="0" fontId="13" fillId="0" borderId="0" xfId="0" applyFont="1" applyAlignment="1">
      <alignment vertical="top"/>
    </xf>
    <xf numFmtId="0" fontId="13" fillId="0" borderId="6" xfId="0" applyFont="1" applyBorder="1" applyAlignment="1">
      <alignment vertical="top"/>
    </xf>
    <xf numFmtId="0" fontId="1" fillId="0" borderId="2" xfId="0" applyFont="1" applyBorder="1" applyAlignment="1">
      <alignment horizontal="center" vertical="center"/>
    </xf>
    <xf numFmtId="0" fontId="5" fillId="3" borderId="1" xfId="0" applyFont="1" applyFill="1" applyBorder="1" applyAlignment="1">
      <alignment vertical="center" textRotation="255"/>
    </xf>
    <xf numFmtId="0" fontId="6" fillId="3" borderId="1" xfId="0" applyFont="1" applyFill="1" applyBorder="1" applyAlignment="1">
      <alignment vertical="center" textRotation="255"/>
    </xf>
    <xf numFmtId="0" fontId="9" fillId="0" borderId="5" xfId="0" applyFont="1" applyBorder="1" applyAlignment="1">
      <alignment horizontal="center" vertical="center"/>
    </xf>
    <xf numFmtId="0" fontId="30" fillId="0" borderId="5" xfId="0" applyFont="1" applyBorder="1" applyAlignment="1">
      <alignment vertical="center"/>
    </xf>
    <xf numFmtId="0" fontId="22" fillId="0" borderId="5" xfId="0" applyFont="1" applyBorder="1" applyAlignment="1">
      <alignment vertical="center"/>
    </xf>
    <xf numFmtId="0" fontId="6" fillId="0" borderId="3" xfId="0" applyFont="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6" fillId="0" borderId="10" xfId="0" applyFont="1" applyBorder="1" applyAlignment="1" applyProtection="1">
      <alignment vertical="center" shrinkToFit="1"/>
      <protection locked="0"/>
    </xf>
    <xf numFmtId="0" fontId="0" fillId="0" borderId="5" xfId="0" applyBorder="1" applyAlignment="1" applyProtection="1">
      <alignment vertical="center" shrinkToFit="1"/>
      <protection locked="0"/>
    </xf>
    <xf numFmtId="0" fontId="0" fillId="0" borderId="11" xfId="0" applyBorder="1" applyAlignment="1" applyProtection="1">
      <alignment vertical="center" shrinkToFit="1"/>
      <protection locked="0"/>
    </xf>
    <xf numFmtId="0" fontId="0" fillId="0" borderId="12" xfId="0" applyBorder="1" applyAlignment="1" applyProtection="1">
      <alignment vertical="center" shrinkToFit="1"/>
      <protection locked="0"/>
    </xf>
    <xf numFmtId="0" fontId="0" fillId="0" borderId="6" xfId="0" applyBorder="1" applyAlignment="1" applyProtection="1">
      <alignment vertical="center" shrinkToFit="1"/>
      <protection locked="0"/>
    </xf>
    <xf numFmtId="0" fontId="0" fillId="0" borderId="7" xfId="0" applyBorder="1" applyAlignment="1" applyProtection="1">
      <alignment vertical="center" shrinkToFit="1"/>
      <protection locked="0"/>
    </xf>
    <xf numFmtId="0" fontId="5" fillId="3" borderId="10" xfId="0" applyFont="1" applyFill="1" applyBorder="1" applyAlignment="1">
      <alignment horizontal="center" vertical="center"/>
    </xf>
    <xf numFmtId="0" fontId="6" fillId="0" borderId="6" xfId="0" applyFont="1" applyFill="1" applyBorder="1" applyAlignment="1">
      <alignment vertical="center"/>
    </xf>
    <xf numFmtId="0" fontId="0" fillId="0" borderId="6" xfId="0" applyFill="1" applyBorder="1" applyAlignment="1">
      <alignment vertical="center"/>
    </xf>
    <xf numFmtId="0" fontId="0" fillId="0" borderId="7" xfId="0" applyFill="1" applyBorder="1" applyAlignment="1">
      <alignment vertical="center"/>
    </xf>
    <xf numFmtId="0" fontId="6" fillId="0" borderId="13" xfId="0" applyFont="1" applyBorder="1" applyAlignment="1" applyProtection="1">
      <alignment vertical="center" shrinkToFit="1"/>
      <protection locked="0"/>
    </xf>
    <xf numFmtId="0" fontId="0" fillId="0" borderId="0" xfId="0" applyAlignment="1" applyProtection="1">
      <alignment vertical="center" shrinkToFit="1"/>
      <protection locked="0"/>
    </xf>
    <xf numFmtId="0" fontId="0" fillId="0" borderId="14" xfId="0" applyBorder="1" applyAlignment="1" applyProtection="1">
      <alignment vertical="center" shrinkToFit="1"/>
      <protection locked="0"/>
    </xf>
    <xf numFmtId="0" fontId="6" fillId="0" borderId="3" xfId="0" applyFont="1" applyBorder="1" applyAlignment="1" applyProtection="1">
      <alignment vertical="center" shrinkToFit="1"/>
      <protection locked="0"/>
    </xf>
    <xf numFmtId="0" fontId="0" fillId="0" borderId="3" xfId="0" applyBorder="1" applyAlignment="1" applyProtection="1">
      <alignment vertical="center" shrinkToFit="1"/>
      <protection locked="0"/>
    </xf>
    <xf numFmtId="0" fontId="5" fillId="3" borderId="10"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11" xfId="0" applyFont="1" applyBorder="1" applyAlignment="1">
      <alignment horizontal="center" vertical="center" wrapText="1"/>
    </xf>
    <xf numFmtId="0" fontId="6" fillId="3" borderId="13" xfId="0" applyFont="1" applyFill="1" applyBorder="1" applyAlignment="1">
      <alignment horizontal="center" vertical="center" wrapText="1"/>
    </xf>
    <xf numFmtId="0" fontId="6" fillId="0" borderId="0" xfId="0" applyFont="1" applyBorder="1" applyAlignment="1">
      <alignment horizontal="center" vertical="center" wrapText="1"/>
    </xf>
    <xf numFmtId="0" fontId="6" fillId="0" borderId="14" xfId="0" applyFont="1" applyBorder="1" applyAlignment="1">
      <alignment horizontal="center" vertical="center" wrapText="1"/>
    </xf>
    <xf numFmtId="0" fontId="6" fillId="3" borderId="12" xfId="0" applyFont="1" applyFill="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49" fontId="6" fillId="0" borderId="5" xfId="0" applyNumberFormat="1" applyFont="1" applyBorder="1" applyAlignment="1" applyProtection="1">
      <alignment horizontal="center" vertical="center"/>
      <protection locked="0"/>
    </xf>
    <xf numFmtId="0" fontId="6" fillId="0" borderId="0" xfId="0" applyFont="1" applyFill="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5" fillId="0" borderId="13" xfId="0" applyFont="1" applyFill="1" applyBorder="1" applyAlignment="1">
      <alignment horizontal="right" vertical="top"/>
    </xf>
    <xf numFmtId="0" fontId="0" fillId="0" borderId="13" xfId="0" applyBorder="1" applyAlignment="1">
      <alignment vertical="top"/>
    </xf>
    <xf numFmtId="0" fontId="5" fillId="0" borderId="0" xfId="0" applyNumberFormat="1" applyFont="1" applyBorder="1" applyAlignment="1">
      <alignment horizontal="right" vertical="center"/>
    </xf>
    <xf numFmtId="0" fontId="0" fillId="0" borderId="0" xfId="0" applyBorder="1" applyAlignment="1">
      <alignment horizontal="right" vertical="center"/>
    </xf>
    <xf numFmtId="0" fontId="6" fillId="0" borderId="5" xfId="0" applyNumberFormat="1" applyFont="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6" fillId="0" borderId="3" xfId="0" applyFont="1" applyBorder="1" applyAlignment="1" applyProtection="1">
      <alignment horizontal="center" vertical="center"/>
    </xf>
    <xf numFmtId="0" fontId="5" fillId="0" borderId="13" xfId="0" applyFont="1" applyFill="1" applyBorder="1" applyAlignment="1">
      <alignment horizontal="right" vertical="top" wrapText="1"/>
    </xf>
    <xf numFmtId="0" fontId="0" fillId="0" borderId="13" xfId="0" applyBorder="1" applyAlignment="1">
      <alignment vertical="top" wrapText="1"/>
    </xf>
    <xf numFmtId="0" fontId="1" fillId="0" borderId="0" xfId="0" applyFont="1" applyBorder="1" applyAlignment="1" applyProtection="1">
      <alignment vertical="center" shrinkToFit="1"/>
      <protection locked="0"/>
    </xf>
    <xf numFmtId="0" fontId="19" fillId="0" borderId="0" xfId="0" applyFont="1" applyBorder="1" applyAlignment="1">
      <alignment vertical="center" shrinkToFit="1"/>
    </xf>
    <xf numFmtId="0" fontId="19" fillId="0" borderId="0" xfId="0" applyFont="1" applyAlignment="1">
      <alignment vertical="center" shrinkToFit="1"/>
    </xf>
    <xf numFmtId="0" fontId="0" fillId="0" borderId="0" xfId="0" applyFont="1" applyBorder="1" applyAlignment="1">
      <alignment vertical="center" shrinkToFit="1"/>
    </xf>
    <xf numFmtId="0" fontId="0" fillId="0" borderId="0" xfId="0" applyFont="1" applyAlignment="1">
      <alignment vertical="center" shrinkToFit="1"/>
    </xf>
    <xf numFmtId="0" fontId="1" fillId="0" borderId="0" xfId="0" applyFont="1" applyBorder="1" applyAlignment="1">
      <alignment vertical="center" wrapText="1"/>
    </xf>
    <xf numFmtId="0" fontId="1" fillId="0" borderId="0" xfId="0" applyFont="1" applyFill="1" applyBorder="1" applyAlignment="1">
      <alignment horizontal="center" vertical="center"/>
    </xf>
    <xf numFmtId="0" fontId="0" fillId="0" borderId="0" xfId="0" applyFill="1" applyBorder="1" applyAlignment="1">
      <alignment horizontal="center" vertical="center"/>
    </xf>
  </cellXfs>
  <cellStyles count="6">
    <cellStyle name="0,0_x000d__x000a_NA_x000d__x000a_" xfId="3"/>
    <cellStyle name="coop" xfId="4"/>
    <cellStyle name="ハイパーリンク" xfId="1" builtinId="8"/>
    <cellStyle name="標準" xfId="0" builtinId="0"/>
    <cellStyle name="標準_申込書【日東工器】（グループ統括サービス）　STS2010C025842" xfId="2"/>
    <cellStyle name="未定義" xfId="5"/>
  </cellStyles>
  <dxfs count="0"/>
  <tableStyles count="0" defaultTableStyle="TableStyleMedium2" defaultPivotStyle="PivotStyleLight16"/>
  <colors>
    <mruColors>
      <color rgb="FFFFFFCC"/>
      <color rgb="FF99FFCC"/>
      <color rgb="FF66FFCC"/>
      <color rgb="FF66CCFF"/>
      <color rgb="FF66FFF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Radio" checked="Checked" firstButton="1" fmlaLink="$AH$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27</xdr:col>
      <xdr:colOff>152400</xdr:colOff>
      <xdr:row>5</xdr:row>
      <xdr:rowOff>95250</xdr:rowOff>
    </xdr:from>
    <xdr:to>
      <xdr:col>32</xdr:col>
      <xdr:colOff>19050</xdr:colOff>
      <xdr:row>7</xdr:row>
      <xdr:rowOff>0</xdr:rowOff>
    </xdr:to>
    <xdr:sp macro="" textlink="">
      <xdr:nvSpPr>
        <xdr:cNvPr id="2" name="正方形/長方形 1"/>
        <xdr:cNvSpPr/>
      </xdr:nvSpPr>
      <xdr:spPr>
        <a:xfrm>
          <a:off x="6324600" y="904875"/>
          <a:ext cx="1009650" cy="152400"/>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0</xdr:col>
      <xdr:colOff>142874</xdr:colOff>
      <xdr:row>8</xdr:row>
      <xdr:rowOff>19049</xdr:rowOff>
    </xdr:from>
    <xdr:to>
      <xdr:col>21</xdr:col>
      <xdr:colOff>152399</xdr:colOff>
      <xdr:row>9</xdr:row>
      <xdr:rowOff>142874</xdr:rowOff>
    </xdr:to>
    <xdr:sp macro="" textlink="">
      <xdr:nvSpPr>
        <xdr:cNvPr id="3" name="正方形/長方形 2"/>
        <xdr:cNvSpPr/>
      </xdr:nvSpPr>
      <xdr:spPr>
        <a:xfrm>
          <a:off x="142874" y="1447799"/>
          <a:ext cx="4810125" cy="29527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24</xdr:col>
      <xdr:colOff>180981</xdr:colOff>
      <xdr:row>14</xdr:row>
      <xdr:rowOff>122093</xdr:rowOff>
    </xdr:from>
    <xdr:to>
      <xdr:col>27</xdr:col>
      <xdr:colOff>66675</xdr:colOff>
      <xdr:row>18</xdr:row>
      <xdr:rowOff>0</xdr:rowOff>
    </xdr:to>
    <xdr:sp macro="" textlink="">
      <xdr:nvSpPr>
        <xdr:cNvPr id="5" name="正方形/長方形 4"/>
        <xdr:cNvSpPr/>
      </xdr:nvSpPr>
      <xdr:spPr>
        <a:xfrm>
          <a:off x="5667381" y="2531918"/>
          <a:ext cx="571494" cy="563707"/>
        </a:xfrm>
        <a:prstGeom prst="rect">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l" rtl="false"/>
          <a:endParaRPr kumimoji="1" lang="ja-JP" altLang="en-US" sz="1100"/>
        </a:p>
      </xdr:txBody>
    </xdr:sp>
    <xdr:clientData/>
  </xdr:twoCellAnchor>
  <xdr:twoCellAnchor>
    <xdr:from>
      <xdr:col>22</xdr:col>
      <xdr:colOff>123825</xdr:colOff>
      <xdr:row>9</xdr:row>
      <xdr:rowOff>133349</xdr:rowOff>
    </xdr:from>
    <xdr:to>
      <xdr:col>32</xdr:col>
      <xdr:colOff>28574</xdr:colOff>
      <xdr:row>12</xdr:row>
      <xdr:rowOff>19049</xdr:rowOff>
    </xdr:to>
    <xdr:sp macro="" textlink="">
      <xdr:nvSpPr>
        <xdr:cNvPr id="6" name="正方形/長方形 5"/>
        <xdr:cNvSpPr/>
      </xdr:nvSpPr>
      <xdr:spPr>
        <a:xfrm>
          <a:off x="5153025" y="1485899"/>
          <a:ext cx="2190749" cy="37147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28</xdr:col>
      <xdr:colOff>180981</xdr:colOff>
      <xdr:row>14</xdr:row>
      <xdr:rowOff>122093</xdr:rowOff>
    </xdr:from>
    <xdr:to>
      <xdr:col>31</xdr:col>
      <xdr:colOff>66675</xdr:colOff>
      <xdr:row>18</xdr:row>
      <xdr:rowOff>0</xdr:rowOff>
    </xdr:to>
    <xdr:sp macro="" textlink="">
      <xdr:nvSpPr>
        <xdr:cNvPr id="7" name="正方形/長方形 6"/>
        <xdr:cNvSpPr/>
      </xdr:nvSpPr>
      <xdr:spPr>
        <a:xfrm>
          <a:off x="6581781" y="2531918"/>
          <a:ext cx="571494" cy="563707"/>
        </a:xfrm>
        <a:prstGeom prst="rect">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l" rtl="false"/>
          <a:endParaRPr kumimoji="1" lang="ja-JP" altLang="en-US" sz="1100"/>
        </a:p>
      </xdr:txBody>
    </xdr:sp>
    <xdr:clientData/>
  </xdr:twoCellAnchor>
  <xdr:twoCellAnchor>
    <xdr:from>
      <xdr:col>24</xdr:col>
      <xdr:colOff>190500</xdr:colOff>
      <xdr:row>23</xdr:row>
      <xdr:rowOff>123825</xdr:rowOff>
    </xdr:from>
    <xdr:to>
      <xdr:col>32</xdr:col>
      <xdr:colOff>200025</xdr:colOff>
      <xdr:row>25</xdr:row>
      <xdr:rowOff>32925</xdr:rowOff>
    </xdr:to>
    <xdr:sp macro="" textlink="">
      <xdr:nvSpPr>
        <xdr:cNvPr id="9" name="正方形/長方形 8"/>
        <xdr:cNvSpPr/>
      </xdr:nvSpPr>
      <xdr:spPr>
        <a:xfrm>
          <a:off x="5676900" y="3886200"/>
          <a:ext cx="1838325" cy="252000"/>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0</xdr:col>
      <xdr:colOff>219075</xdr:colOff>
      <xdr:row>66</xdr:row>
      <xdr:rowOff>152400</xdr:rowOff>
    </xdr:from>
    <xdr:to>
      <xdr:col>32</xdr:col>
      <xdr:colOff>47625</xdr:colOff>
      <xdr:row>68</xdr:row>
      <xdr:rowOff>28575</xdr:rowOff>
    </xdr:to>
    <xdr:sp macro="" textlink="">
      <xdr:nvSpPr>
        <xdr:cNvPr id="11" name="正方形/長方形 10"/>
        <xdr:cNvSpPr/>
      </xdr:nvSpPr>
      <xdr:spPr>
        <a:xfrm>
          <a:off x="219075" y="10696575"/>
          <a:ext cx="7143750" cy="21907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85725</xdr:colOff>
          <xdr:row>2</xdr:row>
          <xdr:rowOff>47625</xdr:rowOff>
        </xdr:from>
        <xdr:to>
          <xdr:col>5</xdr:col>
          <xdr:colOff>171450</xdr:colOff>
          <xdr:row>2</xdr:row>
          <xdr:rowOff>247650</xdr:rowOff>
        </xdr:to>
        <xdr:sp macro="" textlink="">
          <xdr:nvSpPr>
            <xdr:cNvPr id="5125" name="Option Button 5" hidden="1">
              <a:extLst>
                <a:ext uri="{63B3BB69-23CF-44E3-9099-C40C66FF867C}">
                  <a14:compatExt spid="_x0000_s5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rtlCol="false"/>
            <a:lstStyle/>
            <a:p>
              <a:pPr algn="l" rtl="false">
                <a:defRPr sz="1000"/>
              </a:pPr>
              <a:r>
                <a:rPr lang="en" sz="900" b="0" i="0" u="none" strike="noStrike" baseline="0">
                  <a:solidFill>
                    <a:srgbClr val="000000"/>
                  </a:solidFill>
                  <a:latin typeface="MS UI Gothic"/>
                  <a:ea typeface="MS UI Gothic"/>
                </a:rPr>
                <a:t>No charge adjustment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xdr:row>
          <xdr:rowOff>47625</xdr:rowOff>
        </xdr:from>
        <xdr:to>
          <xdr:col>13</xdr:col>
          <xdr:colOff>152400</xdr:colOff>
          <xdr:row>2</xdr:row>
          <xdr:rowOff>247650</xdr:rowOff>
        </xdr:to>
        <xdr:sp macro="" textlink="">
          <xdr:nvSpPr>
            <xdr:cNvPr id="5127" name="Option Button 7" hidden="1">
              <a:extLst>
                <a:ext uri="{63B3BB69-23CF-44E3-9099-C40C66FF867C}">
                  <a14:compatExt spid="_x0000_s5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rtlCol="false"/>
            <a:lstStyle/>
            <a:p>
              <a:pPr algn="l" rtl="false">
                <a:defRPr sz="1000"/>
              </a:pPr>
              <a:r>
                <a:rPr lang="en" sz="900" b="0" i="0" u="none" strike="noStrike" baseline="0">
                  <a:solidFill>
                    <a:srgbClr val="000000"/>
                  </a:solidFill>
                  <a:latin typeface="MS UI Gothic"/>
                  <a:ea typeface="MS UI Gothic"/>
                </a:rPr>
                <a:t>There is charge adjustment (registration number registration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161925</xdr:rowOff>
        </xdr:from>
        <xdr:to>
          <xdr:col>13</xdr:col>
          <xdr:colOff>219075</xdr:colOff>
          <xdr:row>3</xdr:row>
          <xdr:rowOff>0</xdr:rowOff>
        </xdr:to>
        <xdr:sp macro="" textlink="">
          <xdr:nvSpPr>
            <xdr:cNvPr id="5128" name="Group Box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85725</xdr:colOff>
          <xdr:row>2</xdr:row>
          <xdr:rowOff>9525</xdr:rowOff>
        </xdr:from>
        <xdr:to>
          <xdr:col>24</xdr:col>
          <xdr:colOff>200025</xdr:colOff>
          <xdr:row>2</xdr:row>
          <xdr:rowOff>276225</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rtlCol="false"/>
            <a:lstStyle/>
            <a:p>
              <a:pPr algn="ctr" rtl="false">
                <a:defRPr sz="1000"/>
              </a:pPr>
              <a:r>
                <a:rPr lang="en" sz="900" b="0" i="0" u="none" strike="noStrike" baseline="0">
                  <a:solidFill>
                    <a:srgbClr val="000000"/>
                  </a:solidFill>
                  <a:latin typeface="ＭＳ Ｐゴシック"/>
                  <a:ea typeface="ＭＳ Ｐゴシック"/>
                </a:rPr>
                <a:t>Refer to approval</a:t>
              </a:r>
            </a:p>
          </xdr:txBody>
        </xdr:sp>
        <xdr:clientData fPrintsWithSheet="0"/>
      </xdr:twoCellAnchor>
    </mc:Choice>
    <mc:Fallback/>
  </mc:AlternateContent>
  <xdr:twoCellAnchor>
    <xdr:from>
      <xdr:col>25</xdr:col>
      <xdr:colOff>0</xdr:colOff>
      <xdr:row>30</xdr:row>
      <xdr:rowOff>142875</xdr:rowOff>
    </xdr:from>
    <xdr:to>
      <xdr:col>27</xdr:col>
      <xdr:colOff>9525</xdr:colOff>
      <xdr:row>35</xdr:row>
      <xdr:rowOff>9525</xdr:rowOff>
    </xdr:to>
    <xdr:sp macro="" textlink="">
      <xdr:nvSpPr>
        <xdr:cNvPr id="14" name="正方形/長方形 13"/>
        <xdr:cNvSpPr/>
      </xdr:nvSpPr>
      <xdr:spPr>
        <a:xfrm>
          <a:off x="5715000" y="4924425"/>
          <a:ext cx="466725" cy="723900"/>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25</xdr:col>
      <xdr:colOff>0</xdr:colOff>
      <xdr:row>36</xdr:row>
      <xdr:rowOff>57150</xdr:rowOff>
    </xdr:from>
    <xdr:to>
      <xdr:col>27</xdr:col>
      <xdr:colOff>9525</xdr:colOff>
      <xdr:row>53</xdr:row>
      <xdr:rowOff>0</xdr:rowOff>
    </xdr:to>
    <xdr:sp macro="" textlink="">
      <xdr:nvSpPr>
        <xdr:cNvPr id="15" name="正方形/長方形 14"/>
        <xdr:cNvSpPr/>
      </xdr:nvSpPr>
      <xdr:spPr>
        <a:xfrm>
          <a:off x="5715000" y="5867400"/>
          <a:ext cx="466725" cy="2762250"/>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r>
            <a:rPr lang="en" sz="1100"/>
            <a:t>1</a:t>
          </a:r>
          <a:endParaRPr kumimoji="1" lang="ja-JP" altLang="en-US" sz="1100"/>
        </a:p>
      </xdr:txBody>
    </xdr:sp>
    <xdr:clientData fPrintsWithSheet="0"/>
  </xdr:twoCellAnchor>
  <xdr:twoCellAnchor>
    <xdr:from>
      <xdr:col>6</xdr:col>
      <xdr:colOff>200026</xdr:colOff>
      <xdr:row>36</xdr:row>
      <xdr:rowOff>47626</xdr:rowOff>
    </xdr:from>
    <xdr:to>
      <xdr:col>15</xdr:col>
      <xdr:colOff>0</xdr:colOff>
      <xdr:row>46</xdr:row>
      <xdr:rowOff>19050</xdr:rowOff>
    </xdr:to>
    <xdr:sp macro="" textlink="">
      <xdr:nvSpPr>
        <xdr:cNvPr id="18" name="正方形/長方形 17"/>
        <xdr:cNvSpPr/>
      </xdr:nvSpPr>
      <xdr:spPr>
        <a:xfrm>
          <a:off x="1571626" y="5857876"/>
          <a:ext cx="1857374" cy="1590674"/>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6</xdr:col>
      <xdr:colOff>200026</xdr:colOff>
      <xdr:row>46</xdr:row>
      <xdr:rowOff>142876</xdr:rowOff>
    </xdr:from>
    <xdr:to>
      <xdr:col>14</xdr:col>
      <xdr:colOff>209550</xdr:colOff>
      <xdr:row>53</xdr:row>
      <xdr:rowOff>38100</xdr:rowOff>
    </xdr:to>
    <xdr:sp macro="" textlink="">
      <xdr:nvSpPr>
        <xdr:cNvPr id="19" name="正方形/長方形 18"/>
        <xdr:cNvSpPr/>
      </xdr:nvSpPr>
      <xdr:spPr>
        <a:xfrm>
          <a:off x="1571626" y="7572376"/>
          <a:ext cx="1838324" cy="1095374"/>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28</xdr:col>
      <xdr:colOff>95251</xdr:colOff>
      <xdr:row>11</xdr:row>
      <xdr:rowOff>57150</xdr:rowOff>
    </xdr:from>
    <xdr:to>
      <xdr:col>31</xdr:col>
      <xdr:colOff>133351</xdr:colOff>
      <xdr:row>15</xdr:row>
      <xdr:rowOff>95250</xdr:rowOff>
    </xdr:to>
    <xdr:sp macro="" textlink="">
      <xdr:nvSpPr>
        <xdr:cNvPr id="17" name="円/楕円 16"/>
        <xdr:cNvSpPr/>
      </xdr:nvSpPr>
      <xdr:spPr>
        <a:xfrm>
          <a:off x="6496051" y="1381125"/>
          <a:ext cx="723900" cy="657225"/>
        </a:xfrm>
        <a:prstGeom prst="ellipse">
          <a:avLst/>
        </a:prstGeom>
        <a:noFill/>
        <a:ln w="6350">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false" anchor="t"/>
        <a:lstStyle/>
        <a:p>
          <a:pPr algn="l" rtl="false"/>
          <a:endParaRPr kumimoji="1" lang="ja-JP" altLang="en-US" sz="1100"/>
        </a:p>
      </xdr:txBody>
    </xdr:sp>
    <xdr:clientData/>
  </xdr:twoCellAnchor>
  <xdr:twoCellAnchor>
    <xdr:from>
      <xdr:col>6</xdr:col>
      <xdr:colOff>152400</xdr:colOff>
      <xdr:row>56</xdr:row>
      <xdr:rowOff>38100</xdr:rowOff>
    </xdr:from>
    <xdr:to>
      <xdr:col>19</xdr:col>
      <xdr:colOff>19050</xdr:colOff>
      <xdr:row>58</xdr:row>
      <xdr:rowOff>9526</xdr:rowOff>
    </xdr:to>
    <xdr:sp macro="" textlink="">
      <xdr:nvSpPr>
        <xdr:cNvPr id="18" name="正方形/長方形 17"/>
        <xdr:cNvSpPr/>
      </xdr:nvSpPr>
      <xdr:spPr>
        <a:xfrm>
          <a:off x="1524000" y="8905875"/>
          <a:ext cx="2838450" cy="219076"/>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27</xdr:col>
      <xdr:colOff>152400</xdr:colOff>
      <xdr:row>5</xdr:row>
      <xdr:rowOff>95250</xdr:rowOff>
    </xdr:from>
    <xdr:to>
      <xdr:col>32</xdr:col>
      <xdr:colOff>19050</xdr:colOff>
      <xdr:row>7</xdr:row>
      <xdr:rowOff>0</xdr:rowOff>
    </xdr:to>
    <xdr:sp macro="" textlink="">
      <xdr:nvSpPr>
        <xdr:cNvPr id="5" name="正方形/長方形 4"/>
        <xdr:cNvSpPr/>
      </xdr:nvSpPr>
      <xdr:spPr>
        <a:xfrm>
          <a:off x="6324600" y="1152525"/>
          <a:ext cx="1009650" cy="152400"/>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21</xdr:col>
      <xdr:colOff>142876</xdr:colOff>
      <xdr:row>10</xdr:row>
      <xdr:rowOff>66675</xdr:rowOff>
    </xdr:from>
    <xdr:to>
      <xdr:col>32</xdr:col>
      <xdr:colOff>85726</xdr:colOff>
      <xdr:row>12</xdr:row>
      <xdr:rowOff>9525</xdr:rowOff>
    </xdr:to>
    <xdr:sp macro="" textlink="">
      <xdr:nvSpPr>
        <xdr:cNvPr id="10" name="正方形/長方形 9"/>
        <xdr:cNvSpPr/>
      </xdr:nvSpPr>
      <xdr:spPr>
        <a:xfrm>
          <a:off x="4943476" y="1524000"/>
          <a:ext cx="2457450" cy="25717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21</xdr:col>
      <xdr:colOff>152401</xdr:colOff>
      <xdr:row>12</xdr:row>
      <xdr:rowOff>209551</xdr:rowOff>
    </xdr:from>
    <xdr:to>
      <xdr:col>32</xdr:col>
      <xdr:colOff>95251</xdr:colOff>
      <xdr:row>14</xdr:row>
      <xdr:rowOff>76200</xdr:rowOff>
    </xdr:to>
    <xdr:sp macro="" textlink="">
      <xdr:nvSpPr>
        <xdr:cNvPr id="11" name="正方形/長方形 10"/>
        <xdr:cNvSpPr/>
      </xdr:nvSpPr>
      <xdr:spPr>
        <a:xfrm>
          <a:off x="4953001" y="2105026"/>
          <a:ext cx="2457450" cy="257174"/>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0</xdr:col>
      <xdr:colOff>200025</xdr:colOff>
      <xdr:row>15</xdr:row>
      <xdr:rowOff>152400</xdr:rowOff>
    </xdr:from>
    <xdr:to>
      <xdr:col>8</xdr:col>
      <xdr:colOff>9525</xdr:colOff>
      <xdr:row>17</xdr:row>
      <xdr:rowOff>47625</xdr:rowOff>
    </xdr:to>
    <xdr:sp macro="" textlink="">
      <xdr:nvSpPr>
        <xdr:cNvPr id="12" name="正方形/長方形 11"/>
        <xdr:cNvSpPr/>
      </xdr:nvSpPr>
      <xdr:spPr>
        <a:xfrm>
          <a:off x="200025" y="2314575"/>
          <a:ext cx="1638300" cy="23812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6</xdr:col>
      <xdr:colOff>152400</xdr:colOff>
      <xdr:row>55</xdr:row>
      <xdr:rowOff>38100</xdr:rowOff>
    </xdr:from>
    <xdr:to>
      <xdr:col>19</xdr:col>
      <xdr:colOff>19050</xdr:colOff>
      <xdr:row>57</xdr:row>
      <xdr:rowOff>9526</xdr:rowOff>
    </xdr:to>
    <xdr:sp macro="" textlink="">
      <xdr:nvSpPr>
        <xdr:cNvPr id="4" name="正方形/長方形 3"/>
        <xdr:cNvSpPr/>
      </xdr:nvSpPr>
      <xdr:spPr>
        <a:xfrm>
          <a:off x="1524000" y="8905875"/>
          <a:ext cx="2838450" cy="219076"/>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19</xdr:col>
      <xdr:colOff>142876</xdr:colOff>
      <xdr:row>9</xdr:row>
      <xdr:rowOff>66675</xdr:rowOff>
    </xdr:from>
    <xdr:to>
      <xdr:col>30</xdr:col>
      <xdr:colOff>85726</xdr:colOff>
      <xdr:row>11</xdr:row>
      <xdr:rowOff>9525</xdr:rowOff>
    </xdr:to>
    <xdr:sp macro="" textlink="">
      <xdr:nvSpPr>
        <xdr:cNvPr id="5" name="正方形/長方形 4"/>
        <xdr:cNvSpPr/>
      </xdr:nvSpPr>
      <xdr:spPr>
        <a:xfrm>
          <a:off x="4943476" y="1647825"/>
          <a:ext cx="2457450" cy="257175"/>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twoCellAnchor>
    <xdr:from>
      <xdr:col>19</xdr:col>
      <xdr:colOff>152401</xdr:colOff>
      <xdr:row>11</xdr:row>
      <xdr:rowOff>209551</xdr:rowOff>
    </xdr:from>
    <xdr:to>
      <xdr:col>30</xdr:col>
      <xdr:colOff>95251</xdr:colOff>
      <xdr:row>13</xdr:row>
      <xdr:rowOff>76200</xdr:rowOff>
    </xdr:to>
    <xdr:sp macro="" textlink="">
      <xdr:nvSpPr>
        <xdr:cNvPr id="6" name="正方形/長方形 5"/>
        <xdr:cNvSpPr/>
      </xdr:nvSpPr>
      <xdr:spPr>
        <a:xfrm>
          <a:off x="4953001" y="2105026"/>
          <a:ext cx="2457450" cy="257174"/>
        </a:xfrm>
        <a:prstGeom prst="rect">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false" anchor="t"/>
        <a:lstStyle/>
        <a:p>
          <a:pPr algn="l" rtl="false"/>
          <a:endParaRPr kumimoji="1" lang="ja-JP" altLang="en-US" sz="1100"/>
        </a:p>
      </xdr:txBody>
    </xdr: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M83"/>
  <sheetViews>
    <sheetView showGridLines="0" showRowColHeaders="0" tabSelected="1" zoomScaleNormal="100" workbookViewId="0">
      <selection activeCell="AC7" sqref="AC7:AF7"/>
    </sheetView>
  </sheetViews>
  <sheetFormatPr defaultColWidth="0" defaultRowHeight="0" customHeight="1" zeroHeight="1"/>
  <cols>
    <col min="1" max="33" width="3" style="1" customWidth="1"/>
    <col min="34" max="35" width="3" style="32" customWidth="1"/>
    <col min="36" max="36" width="30.875" style="66" bestFit="1" customWidth="1"/>
    <col min="37" max="37" width="7.375" style="66" bestFit="1" customWidth="1"/>
    <col min="38" max="38" width="14.25" style="66" bestFit="1" customWidth="1"/>
    <col min="39" max="39" width="7.625" style="66" bestFit="1" customWidth="1"/>
    <col min="40" max="16384" width="3" style="1" hidden="1"/>
  </cols>
  <sheetData>
    <row r="1" spans="1:39" ht="25.5" customHeight="1">
      <c r="A1" s="5"/>
      <c r="B1" s="36"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28"/>
      <c r="AI1" s="28"/>
      <c r="AJ1" s="67"/>
      <c r="AK1" s="67"/>
      <c r="AL1" s="67"/>
      <c r="AM1" s="67"/>
    </row>
    <row r="2" spans="1:39" ht="13.5"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28"/>
      <c r="AI2" s="28"/>
      <c r="AJ2" s="67"/>
      <c r="AK2" s="67"/>
      <c r="AL2" s="67"/>
      <c r="AM2" s="67"/>
    </row>
    <row r="3" spans="1:39" ht="23.25" customHeight="1">
      <c r="A3" s="5"/>
      <c r="B3" s="29"/>
      <c r="C3" s="29"/>
      <c r="D3" s="29"/>
      <c r="E3" s="29"/>
      <c r="F3" s="29"/>
      <c r="G3" s="29"/>
      <c r="H3" s="29"/>
      <c r="I3" s="29"/>
      <c r="J3" s="29"/>
      <c r="K3" s="29"/>
      <c r="L3" s="29"/>
      <c r="M3" s="29"/>
      <c r="N3" s="29"/>
      <c r="O3" s="26"/>
      <c r="P3" s="101" t="s">
        <v>31</v>
      </c>
      <c r="Q3" s="102"/>
      <c r="R3" s="102"/>
      <c r="S3" s="38"/>
      <c r="T3" s="27" t="s">
        <v>39</v>
      </c>
      <c r="U3" s="103"/>
      <c r="V3" s="104"/>
      <c r="W3" s="5"/>
      <c r="X3" s="39" t="str">
        <f>CONCATENATE("http://itwwpv10.intra.secom.co.jp/iz/Jyoshin/IZ_KanrenDisp.asp?KessaiNum=",S3,T3,U3)</f>
        <v>http://itwwpv10.intra.secom.co.jp/iz/Jyoshin/IZ_KanrenDisp.asp?KessaiNum=H</v>
      </c>
      <c r="Y3" s="45"/>
      <c r="Z3" s="30" t="str">
        <f>IF(AND(S3&lt;&gt;"",U3&lt;&gt;""),"⇒","")</f>
        <v/>
      </c>
      <c r="AA3" s="105" t="str">
        <f>IF(AND(S3&lt;&gt;"",U3&lt;&gt;""),"決裁内容に応じて、品目または単価を修正してください。","")</f>
        <v/>
      </c>
      <c r="AB3" s="106"/>
      <c r="AC3" s="106"/>
      <c r="AD3" s="106"/>
      <c r="AE3" s="106"/>
      <c r="AF3" s="106"/>
      <c r="AG3" s="107"/>
      <c r="AH3" s="39">
        <v>1</v>
      </c>
      <c r="AI3" s="28"/>
      <c r="AJ3" s="67"/>
      <c r="AK3" s="67"/>
      <c r="AL3" s="67"/>
      <c r="AM3" s="67"/>
    </row>
    <row r="4" spans="1:39" ht="11.25">
      <c r="A4" s="5"/>
      <c r="B4" s="5"/>
      <c r="C4" s="5"/>
      <c r="D4" s="5"/>
      <c r="E4" s="5"/>
      <c r="F4" s="5"/>
      <c r="G4" s="5"/>
      <c r="H4" s="5"/>
      <c r="I4" s="5"/>
      <c r="J4" s="5"/>
      <c r="K4" s="5"/>
      <c r="L4" s="5"/>
      <c r="M4" s="5"/>
      <c r="N4" s="5"/>
      <c r="O4" s="5"/>
      <c r="P4" s="37" t="str">
        <f>IF(AND(S3&lt;&gt;"",U3&lt;&gt;""),"※この決裁番号は、契約書面の右下に印刷されます。","")</f>
        <v/>
      </c>
      <c r="Q4" s="5"/>
      <c r="R4" s="5"/>
      <c r="S4" s="5"/>
      <c r="T4" s="5"/>
      <c r="U4" s="5"/>
      <c r="V4" s="5"/>
      <c r="W4" s="5"/>
      <c r="X4" s="5"/>
      <c r="Y4" s="5"/>
      <c r="Z4" s="5"/>
      <c r="AA4" s="5"/>
      <c r="AB4" s="5"/>
      <c r="AC4" s="5"/>
      <c r="AD4" s="5"/>
      <c r="AE4" s="5"/>
      <c r="AF4" s="5"/>
      <c r="AG4" s="5"/>
      <c r="AH4" s="28"/>
      <c r="AI4" s="28"/>
      <c r="AJ4" s="67"/>
      <c r="AK4" s="67"/>
      <c r="AL4" s="67"/>
      <c r="AM4" s="67"/>
    </row>
    <row r="5" spans="1:39" ht="9.9499999999999993" customHeight="1">
      <c r="A5" s="5"/>
      <c r="B5" s="187" t="s">
        <v>1</v>
      </c>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6"/>
      <c r="AH5" s="34"/>
      <c r="AI5" s="28"/>
      <c r="AJ5" s="67"/>
      <c r="AK5" s="67"/>
      <c r="AL5" s="67"/>
      <c r="AM5" s="67"/>
    </row>
    <row r="6" spans="1:39" ht="9.9499999999999993" customHeight="1">
      <c r="A6" s="5"/>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c r="AG6" s="6"/>
      <c r="AH6" s="34"/>
      <c r="AI6" s="28"/>
      <c r="AJ6" s="67"/>
      <c r="AK6" s="67"/>
      <c r="AL6" s="67"/>
      <c r="AM6" s="67"/>
    </row>
    <row r="7" spans="1:39" ht="9.9499999999999993" customHeight="1">
      <c r="A7" s="5"/>
      <c r="B7" s="2"/>
      <c r="C7" s="2"/>
      <c r="D7" s="2"/>
      <c r="E7" s="2"/>
      <c r="F7" s="2"/>
      <c r="G7" s="2"/>
      <c r="H7" s="2"/>
      <c r="I7" s="2"/>
      <c r="J7" s="2"/>
      <c r="K7" s="2"/>
      <c r="L7" s="2"/>
      <c r="M7" s="2"/>
      <c r="N7" s="2"/>
      <c r="O7" s="2"/>
      <c r="P7" s="2"/>
      <c r="Q7" s="2"/>
      <c r="R7" s="2"/>
      <c r="S7" s="2"/>
      <c r="T7" s="2"/>
      <c r="U7" s="2"/>
      <c r="V7" s="2"/>
      <c r="W7" s="2"/>
      <c r="X7" s="191" t="s">
        <v>41</v>
      </c>
      <c r="Y7" s="192"/>
      <c r="Z7" s="192"/>
      <c r="AA7" s="192"/>
      <c r="AB7" s="4" t="s">
        <v>50</v>
      </c>
      <c r="AC7" s="189">
        <f ca="1">TODAY()</f>
        <v>43641</v>
      </c>
      <c r="AD7" s="189"/>
      <c r="AE7" s="189"/>
      <c r="AF7" s="189"/>
      <c r="AG7" s="6"/>
      <c r="AH7" s="34"/>
      <c r="AI7" s="28"/>
      <c r="AJ7" s="67"/>
      <c r="AK7" s="67"/>
      <c r="AL7" s="67"/>
      <c r="AM7" s="67"/>
    </row>
    <row r="8" spans="1:39" ht="9.9499999999999993" customHeight="1">
      <c r="A8" s="5"/>
      <c r="B8" s="2"/>
      <c r="C8" s="2"/>
      <c r="D8" s="2"/>
      <c r="E8" s="2"/>
      <c r="F8" s="2"/>
      <c r="G8" s="2"/>
      <c r="H8" s="2"/>
      <c r="I8" s="2"/>
      <c r="J8" s="2"/>
      <c r="K8" s="2"/>
      <c r="L8" s="2"/>
      <c r="M8" s="2"/>
      <c r="N8" s="2"/>
      <c r="O8" s="2"/>
      <c r="P8" s="2"/>
      <c r="Q8" s="2"/>
      <c r="R8" s="2"/>
      <c r="S8" s="2"/>
      <c r="T8" s="2"/>
      <c r="U8" s="2"/>
      <c r="V8" s="2"/>
      <c r="W8" s="2"/>
      <c r="X8" s="191" t="s">
        <v>42</v>
      </c>
      <c r="Y8" s="192"/>
      <c r="Z8" s="192"/>
      <c r="AA8" s="192"/>
      <c r="AB8" s="4" t="s">
        <v>50</v>
      </c>
      <c r="AC8" s="190" t="s">
        <v>52</v>
      </c>
      <c r="AD8" s="190"/>
      <c r="AE8" s="190"/>
      <c r="AF8" s="190"/>
      <c r="AG8" s="6"/>
      <c r="AH8" s="34"/>
      <c r="AI8" s="28"/>
      <c r="AJ8" s="67"/>
      <c r="AK8" s="67"/>
      <c r="AL8" s="67"/>
      <c r="AM8" s="67"/>
    </row>
    <row r="9" spans="1:39" ht="13.5" customHeight="1">
      <c r="A9" s="5"/>
      <c r="B9" s="185" t="s">
        <v>2</v>
      </c>
      <c r="C9" s="186"/>
      <c r="D9" s="186"/>
      <c r="E9" s="186"/>
      <c r="F9" s="186"/>
      <c r="G9" s="186"/>
      <c r="H9" s="186"/>
      <c r="I9" s="186"/>
      <c r="J9" s="186"/>
      <c r="K9" s="186"/>
      <c r="L9" s="186"/>
      <c r="M9" s="186"/>
      <c r="N9" s="186"/>
      <c r="O9" s="186"/>
      <c r="P9" s="186"/>
      <c r="Q9" s="186"/>
      <c r="R9" s="186"/>
      <c r="S9" s="186"/>
      <c r="T9" s="186"/>
      <c r="U9" s="186"/>
      <c r="V9" s="186"/>
      <c r="W9" s="186"/>
      <c r="X9" s="186"/>
      <c r="Y9" s="186"/>
      <c r="Z9" s="186"/>
      <c r="AA9" s="186"/>
      <c r="AB9" s="186"/>
      <c r="AC9" s="186"/>
      <c r="AD9" s="186"/>
      <c r="AE9" s="186"/>
      <c r="AF9" s="186"/>
      <c r="AG9" s="6"/>
      <c r="AH9" s="34"/>
      <c r="AI9" s="28"/>
      <c r="AJ9" s="67"/>
      <c r="AK9" s="67"/>
      <c r="AL9" s="67"/>
      <c r="AM9" s="67"/>
    </row>
    <row r="10" spans="1:39" ht="13.5" customHeight="1">
      <c r="A10" s="5"/>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6"/>
      <c r="AH10" s="34"/>
      <c r="AI10" s="28"/>
      <c r="AJ10" s="67"/>
      <c r="AK10" s="67"/>
      <c r="AL10" s="67"/>
      <c r="AM10" s="67"/>
    </row>
    <row r="11" spans="1:39" ht="11.25">
      <c r="A11" s="5"/>
      <c r="B11" s="2"/>
      <c r="C11" s="2"/>
      <c r="D11" s="2"/>
      <c r="E11" s="2"/>
      <c r="F11" s="2"/>
      <c r="G11" s="2"/>
      <c r="H11" s="2"/>
      <c r="I11" s="2"/>
      <c r="J11" s="2"/>
      <c r="K11" s="2"/>
      <c r="L11" s="2"/>
      <c r="M11" s="2"/>
      <c r="N11" s="2"/>
      <c r="O11" s="2"/>
      <c r="P11" s="2"/>
      <c r="Q11" s="2"/>
      <c r="R11" s="2"/>
      <c r="S11" s="2"/>
      <c r="T11" s="2"/>
      <c r="U11" s="2"/>
      <c r="V11" s="2"/>
      <c r="W11" s="2"/>
      <c r="Y11" s="112" t="s">
        <v>43</v>
      </c>
      <c r="Z11" s="113"/>
      <c r="AA11" s="113"/>
      <c r="AB11" s="113"/>
      <c r="AC11" s="113"/>
      <c r="AD11" s="113"/>
      <c r="AE11" s="113"/>
      <c r="AG11" s="6"/>
      <c r="AH11" s="34"/>
      <c r="AI11" s="28"/>
      <c r="AJ11" s="67"/>
      <c r="AK11" s="67"/>
      <c r="AL11" s="67"/>
      <c r="AM11" s="67"/>
    </row>
    <row r="12" spans="1:39" ht="13.5" customHeight="1">
      <c r="A12" s="5"/>
      <c r="B12" s="2"/>
      <c r="C12" s="2"/>
      <c r="D12" s="2"/>
      <c r="E12" s="2"/>
      <c r="F12" s="2"/>
      <c r="G12" s="2"/>
      <c r="H12" s="2"/>
      <c r="I12" s="2"/>
      <c r="J12" s="2"/>
      <c r="K12" s="2"/>
      <c r="L12" s="2"/>
      <c r="M12" s="2"/>
      <c r="N12" s="2"/>
      <c r="O12" s="2"/>
      <c r="P12" s="2"/>
      <c r="Q12" s="2"/>
      <c r="R12" s="2"/>
      <c r="S12" s="2"/>
      <c r="T12" s="2"/>
      <c r="U12" s="2"/>
      <c r="V12" s="2"/>
      <c r="W12" s="2"/>
      <c r="X12" s="24"/>
      <c r="Y12" s="113"/>
      <c r="Z12" s="113"/>
      <c r="AA12" s="113"/>
      <c r="AB12" s="113"/>
      <c r="AC12" s="113"/>
      <c r="AD12" s="113"/>
      <c r="AE12" s="113"/>
      <c r="AF12" s="22"/>
      <c r="AG12" s="6"/>
      <c r="AH12" s="34" t="s">
        <v>43</v>
      </c>
      <c r="AI12" s="28"/>
      <c r="AJ12" s="67"/>
      <c r="AK12" s="67"/>
      <c r="AL12" s="67"/>
      <c r="AM12" s="67"/>
    </row>
    <row r="13" spans="1:39" ht="12">
      <c r="A13" s="5"/>
      <c r="B13" s="2" t="s">
        <v>3</v>
      </c>
      <c r="C13" s="2"/>
      <c r="D13" s="2"/>
      <c r="E13" s="2"/>
      <c r="F13" s="2"/>
      <c r="G13" s="2"/>
      <c r="H13" s="2"/>
      <c r="I13" s="2"/>
      <c r="J13" s="2"/>
      <c r="K13" s="2"/>
      <c r="L13" s="2"/>
      <c r="M13" s="2"/>
      <c r="N13" s="2"/>
      <c r="O13" s="2"/>
      <c r="P13" s="2"/>
      <c r="Q13" s="2"/>
      <c r="R13" s="2"/>
      <c r="S13" s="2"/>
      <c r="T13" s="2"/>
      <c r="U13" s="2"/>
      <c r="V13" s="2"/>
      <c r="W13" s="2"/>
      <c r="X13" s="23"/>
      <c r="Y13" s="23"/>
      <c r="Z13" s="23"/>
      <c r="AA13" s="23"/>
      <c r="AB13" s="23"/>
      <c r="AC13" s="23"/>
      <c r="AD13" s="23"/>
      <c r="AE13" s="23"/>
      <c r="AF13" s="23"/>
      <c r="AG13" s="6"/>
      <c r="AH13" s="34" t="s">
        <v>54</v>
      </c>
      <c r="AI13" s="28"/>
      <c r="AJ13" s="67"/>
      <c r="AK13" s="67"/>
      <c r="AL13" s="67"/>
      <c r="AM13" s="67"/>
    </row>
    <row r="14" spans="1:39" ht="13.5" customHeight="1">
      <c r="A14" s="5"/>
      <c r="B14" s="2" t="s">
        <v>4</v>
      </c>
      <c r="C14" s="2"/>
      <c r="D14" s="2"/>
      <c r="E14" s="2"/>
      <c r="F14" s="2"/>
      <c r="G14" s="2"/>
      <c r="H14" s="2"/>
      <c r="I14" s="2"/>
      <c r="J14" s="2"/>
      <c r="K14" s="2"/>
      <c r="L14" s="2"/>
      <c r="M14" s="2"/>
      <c r="N14" s="2"/>
      <c r="O14" s="2"/>
      <c r="P14" s="2"/>
      <c r="Q14" s="2"/>
      <c r="R14" s="2"/>
      <c r="S14" s="2"/>
      <c r="Z14" s="110" t="s">
        <v>44</v>
      </c>
      <c r="AA14" s="111"/>
      <c r="AD14" s="110" t="s">
        <v>53</v>
      </c>
      <c r="AE14" s="111"/>
      <c r="AG14" s="6"/>
      <c r="AH14" s="34" t="s">
        <v>55</v>
      </c>
      <c r="AI14" s="28"/>
      <c r="AJ14" s="67"/>
      <c r="AK14" s="67"/>
      <c r="AL14" s="67"/>
      <c r="AM14" s="67"/>
    </row>
    <row r="15" spans="1:39" ht="13.5" customHeight="1">
      <c r="A15" s="5"/>
      <c r="C15" s="2"/>
      <c r="D15" s="2"/>
      <c r="E15" s="2"/>
      <c r="F15" s="2"/>
      <c r="G15" s="2"/>
      <c r="H15" s="2"/>
      <c r="I15" s="2"/>
      <c r="J15" s="2"/>
      <c r="K15" s="2"/>
      <c r="X15" s="21"/>
      <c r="Z15" s="109"/>
      <c r="AA15" s="109"/>
      <c r="AD15" s="109"/>
      <c r="AE15" s="109"/>
      <c r="AG15" s="6"/>
      <c r="AH15" s="34" t="s">
        <v>56</v>
      </c>
      <c r="AI15" s="28"/>
      <c r="AJ15" s="67"/>
      <c r="AK15" s="67"/>
      <c r="AL15" s="67"/>
      <c r="AM15" s="67"/>
    </row>
    <row r="16" spans="1:39" ht="13.5" customHeight="1">
      <c r="A16" s="5"/>
      <c r="B16" s="2"/>
      <c r="C16" s="2"/>
      <c r="D16" s="2"/>
      <c r="E16" s="2"/>
      <c r="F16" s="2"/>
      <c r="G16" s="2"/>
      <c r="H16" s="2"/>
      <c r="I16" s="2"/>
      <c r="J16" s="2"/>
      <c r="K16" s="2"/>
      <c r="V16" s="108"/>
      <c r="W16" s="109"/>
      <c r="X16" s="21"/>
      <c r="Z16" s="2"/>
      <c r="AG16" s="6"/>
      <c r="AH16" s="34" t="s">
        <v>57</v>
      </c>
      <c r="AI16" s="28"/>
      <c r="AJ16" s="67"/>
      <c r="AK16" s="67"/>
      <c r="AL16" s="67"/>
      <c r="AM16" s="67"/>
    </row>
    <row r="17" spans="1:39" ht="13.5" customHeight="1">
      <c r="A17" s="5"/>
      <c r="B17" s="2"/>
      <c r="C17" s="2"/>
      <c r="D17" s="2"/>
      <c r="E17" s="2"/>
      <c r="F17" s="2"/>
      <c r="G17" s="2"/>
      <c r="H17" s="2"/>
      <c r="I17" s="2"/>
      <c r="J17" s="2"/>
      <c r="K17" s="2"/>
      <c r="V17" s="108"/>
      <c r="W17" s="109"/>
      <c r="X17" s="21"/>
      <c r="Z17" s="2"/>
      <c r="AA17" s="2"/>
      <c r="AB17" s="2"/>
      <c r="AC17" s="2"/>
      <c r="AD17" s="2"/>
      <c r="AE17" s="2"/>
      <c r="AF17" s="2"/>
      <c r="AG17" s="6"/>
      <c r="AH17" s="34" t="s">
        <v>58</v>
      </c>
      <c r="AI17" s="28"/>
      <c r="AJ17" s="67"/>
      <c r="AK17" s="67"/>
      <c r="AL17" s="67"/>
      <c r="AM17" s="67"/>
    </row>
    <row r="18" spans="1:39" ht="13.5" customHeight="1">
      <c r="A18" s="5"/>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6"/>
      <c r="AH18" s="34" t="s">
        <v>59</v>
      </c>
      <c r="AI18" s="28"/>
      <c r="AJ18" s="67"/>
      <c r="AK18" s="67"/>
      <c r="AL18" s="67"/>
      <c r="AM18" s="67"/>
    </row>
    <row r="19" spans="1:39" ht="6" customHeight="1">
      <c r="A19" s="5"/>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6"/>
      <c r="AH19" s="34" t="s">
        <v>60</v>
      </c>
      <c r="AI19" s="28"/>
      <c r="AJ19" s="67"/>
      <c r="AK19" s="67"/>
      <c r="AL19" s="67"/>
      <c r="AM19" s="67"/>
    </row>
    <row r="20" spans="1:39" ht="13.5" customHeight="1">
      <c r="A20" s="5"/>
      <c r="B20" s="116" t="s">
        <v>5</v>
      </c>
      <c r="C20" s="195"/>
      <c r="D20" s="195"/>
      <c r="E20" s="195"/>
      <c r="F20" s="195"/>
      <c r="G20" s="195"/>
      <c r="H20" s="195"/>
      <c r="I20" s="195"/>
      <c r="J20" s="195"/>
      <c r="K20" s="195"/>
      <c r="L20" s="195"/>
      <c r="M20" s="195"/>
      <c r="N20" s="195"/>
      <c r="O20" s="195"/>
      <c r="P20" s="195"/>
      <c r="Q20" s="195"/>
      <c r="R20" s="116" t="s">
        <v>32</v>
      </c>
      <c r="S20" s="195"/>
      <c r="T20" s="195"/>
      <c r="U20" s="195"/>
      <c r="V20" s="195"/>
      <c r="W20" s="195"/>
      <c r="X20" s="195"/>
      <c r="Y20" s="195"/>
      <c r="Z20" s="195"/>
      <c r="AA20" s="195"/>
      <c r="AB20" s="195"/>
      <c r="AC20" s="195"/>
      <c r="AD20" s="195"/>
      <c r="AE20" s="195"/>
      <c r="AF20" s="195"/>
      <c r="AG20" s="6"/>
      <c r="AH20" s="34" t="s">
        <v>61</v>
      </c>
      <c r="AI20" s="28"/>
      <c r="AJ20" s="67"/>
      <c r="AK20" s="67"/>
      <c r="AL20" s="67"/>
      <c r="AM20" s="67"/>
    </row>
    <row r="21" spans="1:39" ht="13.5" customHeight="1">
      <c r="A21" s="5"/>
      <c r="B21" s="196" t="s">
        <v>6</v>
      </c>
      <c r="C21" s="197"/>
      <c r="D21" s="197"/>
      <c r="E21" s="197"/>
      <c r="F21" s="197"/>
      <c r="G21" s="197"/>
      <c r="H21" s="197"/>
      <c r="I21" s="197"/>
      <c r="J21" s="197"/>
      <c r="K21" s="197"/>
      <c r="L21" s="197"/>
      <c r="M21" s="197"/>
      <c r="N21" s="197"/>
      <c r="O21" s="197"/>
      <c r="P21" s="197"/>
      <c r="Q21" s="197"/>
      <c r="R21" s="196" t="s">
        <v>33</v>
      </c>
      <c r="S21" s="197"/>
      <c r="T21" s="197"/>
      <c r="U21" s="197"/>
      <c r="V21" s="197"/>
      <c r="W21" s="197"/>
      <c r="X21" s="197"/>
      <c r="Y21" s="197"/>
      <c r="Z21" s="197"/>
      <c r="AA21" s="197"/>
      <c r="AB21" s="197"/>
      <c r="AC21" s="197"/>
      <c r="AD21" s="197"/>
      <c r="AE21" s="197"/>
      <c r="AF21" s="197"/>
      <c r="AG21" s="6"/>
      <c r="AH21" s="34" t="s">
        <v>62</v>
      </c>
      <c r="AI21" s="28"/>
      <c r="AJ21" s="67"/>
      <c r="AK21" s="67"/>
      <c r="AL21" s="67"/>
      <c r="AM21" s="67"/>
    </row>
    <row r="22" spans="1:39" ht="6" customHeight="1">
      <c r="A22" s="5"/>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6"/>
      <c r="AH22" s="34"/>
      <c r="AI22" s="28"/>
      <c r="AJ22" s="67"/>
      <c r="AK22" s="67"/>
      <c r="AL22" s="67"/>
      <c r="AM22" s="67"/>
    </row>
    <row r="23" spans="1:39" ht="13.5" customHeight="1">
      <c r="A23" s="5"/>
      <c r="B23" s="116" t="s">
        <v>7</v>
      </c>
      <c r="C23" s="195"/>
      <c r="D23" s="195"/>
      <c r="E23" s="195"/>
      <c r="F23" s="195"/>
      <c r="G23" s="195"/>
      <c r="H23" s="195"/>
      <c r="I23" s="195"/>
      <c r="J23" s="195"/>
      <c r="K23" s="195"/>
      <c r="L23" s="195"/>
      <c r="M23" s="195"/>
      <c r="N23" s="195"/>
      <c r="O23" s="195"/>
      <c r="P23" s="195"/>
      <c r="Q23" s="195"/>
      <c r="R23" s="116" t="s">
        <v>34</v>
      </c>
      <c r="S23" s="195"/>
      <c r="T23" s="195"/>
      <c r="U23" s="195"/>
      <c r="V23" s="195"/>
      <c r="W23" s="195"/>
      <c r="X23" s="195"/>
      <c r="Y23" s="195"/>
      <c r="Z23" s="195"/>
      <c r="AA23" s="195"/>
      <c r="AB23" s="195"/>
      <c r="AC23" s="195"/>
      <c r="AD23" s="195"/>
      <c r="AE23" s="195"/>
      <c r="AF23" s="195"/>
      <c r="AG23" s="6"/>
      <c r="AH23" s="34"/>
      <c r="AI23" s="28"/>
      <c r="AJ23" s="67"/>
      <c r="AK23" s="67"/>
      <c r="AL23" s="67"/>
      <c r="AM23" s="67"/>
    </row>
    <row r="24" spans="1:39" ht="13.5" customHeight="1">
      <c r="A24" s="5"/>
      <c r="B24" s="199"/>
      <c r="C24" s="199"/>
      <c r="D24" s="199"/>
      <c r="E24" s="199"/>
      <c r="F24" s="199"/>
      <c r="G24" s="199"/>
      <c r="H24" s="199"/>
      <c r="I24" s="199"/>
      <c r="J24" s="199"/>
      <c r="K24" s="199"/>
      <c r="L24" s="199"/>
      <c r="M24" s="199"/>
      <c r="N24" s="199"/>
      <c r="O24" s="199"/>
      <c r="P24" s="199"/>
      <c r="Q24" s="199"/>
      <c r="R24" s="116" t="s">
        <v>35</v>
      </c>
      <c r="S24" s="195"/>
      <c r="T24" s="195"/>
      <c r="U24" s="195"/>
      <c r="V24" s="195"/>
      <c r="W24" s="195"/>
      <c r="X24" s="195"/>
      <c r="Y24" s="195"/>
      <c r="Z24" s="116" t="s">
        <v>45</v>
      </c>
      <c r="AA24" s="195"/>
      <c r="AB24" s="195"/>
      <c r="AC24" s="195"/>
      <c r="AD24" s="195"/>
      <c r="AE24" s="195"/>
      <c r="AF24" s="195"/>
      <c r="AG24" s="6"/>
      <c r="AH24" s="34"/>
      <c r="AI24" s="28"/>
      <c r="AJ24" s="67"/>
      <c r="AK24" s="67"/>
      <c r="AL24" s="67"/>
      <c r="AM24" s="67"/>
    </row>
    <row r="25" spans="1:39" ht="13.5" customHeight="1">
      <c r="A25" s="5"/>
      <c r="B25" s="116" t="s">
        <v>8</v>
      </c>
      <c r="C25" s="195"/>
      <c r="D25" s="195"/>
      <c r="E25" s="195"/>
      <c r="F25" s="195"/>
      <c r="G25" s="195"/>
      <c r="H25" s="193">
        <f>AB36</f>
        <v>0</v>
      </c>
      <c r="I25" s="194"/>
      <c r="J25" s="194"/>
      <c r="K25" s="194"/>
      <c r="L25" s="194"/>
      <c r="M25" s="194"/>
      <c r="N25" s="122"/>
      <c r="O25" s="122"/>
      <c r="P25" s="122"/>
      <c r="Q25" s="123"/>
      <c r="R25" s="164" t="s">
        <v>36</v>
      </c>
      <c r="S25" s="165"/>
      <c r="T25" s="165"/>
      <c r="U25" s="165"/>
      <c r="V25" s="165"/>
      <c r="W25" s="165"/>
      <c r="X25" s="165"/>
      <c r="Y25" s="165"/>
      <c r="Z25" s="166" t="s">
        <v>46</v>
      </c>
      <c r="AA25" s="167"/>
      <c r="AB25" s="167"/>
      <c r="AC25" s="167"/>
      <c r="AD25" s="167"/>
      <c r="AE25" s="167"/>
      <c r="AF25" s="167"/>
      <c r="AG25" s="6"/>
      <c r="AH25" s="34" t="s">
        <v>46</v>
      </c>
      <c r="AI25" s="28"/>
      <c r="AJ25" s="67"/>
      <c r="AK25" s="67"/>
      <c r="AL25" s="67"/>
      <c r="AM25" s="67"/>
    </row>
    <row r="26" spans="1:39" ht="13.5" customHeight="1">
      <c r="A26" s="5"/>
      <c r="B26" s="195" t="s">
        <v>9</v>
      </c>
      <c r="C26" s="195"/>
      <c r="D26" s="195"/>
      <c r="E26" s="195"/>
      <c r="F26" s="195"/>
      <c r="G26" s="195"/>
      <c r="H26" s="193">
        <f>AB54</f>
        <v>0</v>
      </c>
      <c r="I26" s="194"/>
      <c r="J26" s="194"/>
      <c r="K26" s="194"/>
      <c r="L26" s="194"/>
      <c r="M26" s="194"/>
      <c r="N26" s="122"/>
      <c r="O26" s="122"/>
      <c r="P26" s="122"/>
      <c r="Q26" s="123"/>
      <c r="R26" s="164" t="s">
        <v>37</v>
      </c>
      <c r="S26" s="165"/>
      <c r="T26" s="165"/>
      <c r="U26" s="165"/>
      <c r="V26" s="165"/>
      <c r="W26" s="165"/>
      <c r="X26" s="165"/>
      <c r="Y26" s="165"/>
      <c r="Z26" s="168" t="s">
        <v>47</v>
      </c>
      <c r="AA26" s="168"/>
      <c r="AB26" s="169"/>
      <c r="AC26" s="198" t="str">
        <f>Z25</f>
        <v>口座振替</v>
      </c>
      <c r="AD26" s="199"/>
      <c r="AE26" s="199"/>
      <c r="AF26" s="199"/>
      <c r="AG26" s="6"/>
      <c r="AH26" s="34" t="s">
        <v>63</v>
      </c>
      <c r="AI26" s="28"/>
      <c r="AJ26" s="67"/>
      <c r="AK26" s="67"/>
      <c r="AL26" s="67"/>
      <c r="AM26" s="67"/>
    </row>
    <row r="27" spans="1:39" ht="11.25" customHeight="1">
      <c r="A27" s="5"/>
      <c r="B27" s="170" t="s">
        <v>10</v>
      </c>
      <c r="C27" s="171"/>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5"/>
      <c r="AH27" s="28"/>
      <c r="AI27" s="28"/>
      <c r="AJ27" s="67"/>
      <c r="AK27" s="67"/>
      <c r="AL27" s="67"/>
      <c r="AM27" s="67"/>
    </row>
    <row r="28" spans="1:39" ht="11.25" customHeight="1">
      <c r="A28" s="5"/>
      <c r="B28" s="172" t="str">
        <f>IF(Z25=AH26,"※振込手数料はお客様の負担とします。","")</f>
        <v/>
      </c>
      <c r="C28" s="173"/>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73"/>
      <c r="AB28" s="173"/>
      <c r="AC28" s="173"/>
      <c r="AD28" s="173"/>
      <c r="AE28" s="173"/>
      <c r="AF28" s="173"/>
      <c r="AG28" s="6"/>
      <c r="AH28" s="34"/>
      <c r="AI28" s="28"/>
      <c r="AJ28" s="67"/>
      <c r="AK28" s="67"/>
      <c r="AL28" s="67"/>
      <c r="AM28" s="67"/>
    </row>
    <row r="29" spans="1:39" ht="11.25" customHeight="1">
      <c r="A29" s="5"/>
      <c r="B29" s="173"/>
      <c r="C29" s="173"/>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6"/>
      <c r="AH29" s="34"/>
      <c r="AI29" s="28"/>
      <c r="AJ29" s="67"/>
      <c r="AK29" s="67"/>
      <c r="AL29" s="67"/>
      <c r="AM29" s="67"/>
    </row>
    <row r="30" spans="1:39" ht="6" customHeight="1">
      <c r="A30" s="5"/>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6"/>
      <c r="AH30" s="34"/>
      <c r="AI30" s="28"/>
      <c r="AJ30" s="67"/>
      <c r="AK30" s="67"/>
      <c r="AL30" s="67"/>
      <c r="AM30" s="67"/>
    </row>
    <row r="31" spans="1:39" ht="13.5" customHeight="1">
      <c r="A31" s="5"/>
      <c r="B31" s="174" t="s">
        <v>11</v>
      </c>
      <c r="C31" s="175"/>
      <c r="D31" s="175"/>
      <c r="E31" s="175"/>
      <c r="F31" s="175"/>
      <c r="G31" s="176"/>
      <c r="H31" s="2"/>
      <c r="I31" s="2"/>
      <c r="J31" s="2"/>
      <c r="K31" s="2"/>
      <c r="L31" s="2"/>
      <c r="M31" s="2"/>
      <c r="N31" s="2"/>
      <c r="O31" s="2"/>
      <c r="P31" s="2"/>
      <c r="Q31" s="2"/>
      <c r="R31" s="2"/>
      <c r="S31" s="2"/>
      <c r="T31" s="2"/>
      <c r="U31" s="2"/>
      <c r="V31" s="2"/>
      <c r="W31" s="2"/>
      <c r="X31" s="2"/>
      <c r="Y31" s="2"/>
      <c r="Z31" s="2"/>
      <c r="AA31" s="2"/>
      <c r="AB31" s="2"/>
      <c r="AC31" s="2"/>
      <c r="AD31" s="2"/>
      <c r="AE31" s="2"/>
      <c r="AF31" s="2"/>
      <c r="AG31" s="6"/>
      <c r="AH31" s="34"/>
      <c r="AI31" s="28"/>
      <c r="AJ31" s="67"/>
      <c r="AK31" s="67"/>
      <c r="AL31" s="67"/>
      <c r="AM31" s="67"/>
    </row>
    <row r="32" spans="1:39" ht="13.5" customHeight="1">
      <c r="A32" s="5"/>
      <c r="B32" s="118" t="s">
        <v>12</v>
      </c>
      <c r="C32" s="119"/>
      <c r="D32" s="119"/>
      <c r="E32" s="119"/>
      <c r="F32" s="119"/>
      <c r="G32" s="120"/>
      <c r="H32" s="121" t="s">
        <v>29</v>
      </c>
      <c r="I32" s="122"/>
      <c r="J32" s="122"/>
      <c r="K32" s="122"/>
      <c r="L32" s="122"/>
      <c r="M32" s="122"/>
      <c r="N32" s="122"/>
      <c r="O32" s="122"/>
      <c r="P32" s="122"/>
      <c r="Q32" s="122"/>
      <c r="R32" s="122"/>
      <c r="S32" s="122"/>
      <c r="T32" s="122"/>
      <c r="U32" s="123"/>
      <c r="V32" s="161" t="s">
        <v>40</v>
      </c>
      <c r="W32" s="161"/>
      <c r="X32" s="161"/>
      <c r="Y32" s="162"/>
      <c r="Z32" s="163" t="s">
        <v>48</v>
      </c>
      <c r="AA32" s="163"/>
      <c r="AB32" s="161" t="s">
        <v>51</v>
      </c>
      <c r="AC32" s="161"/>
      <c r="AD32" s="161"/>
      <c r="AE32" s="161"/>
      <c r="AF32" s="161"/>
      <c r="AG32" s="6"/>
      <c r="AH32" s="34"/>
      <c r="AI32" s="28"/>
      <c r="AJ32" s="77"/>
      <c r="AK32" s="78"/>
      <c r="AL32" s="78"/>
      <c r="AM32" s="79"/>
    </row>
    <row r="33" spans="1:39" ht="13.5" customHeight="1">
      <c r="A33" s="5"/>
      <c r="B33" s="124" t="s">
        <v>8</v>
      </c>
      <c r="C33" s="125"/>
      <c r="D33" s="125"/>
      <c r="E33" s="125"/>
      <c r="F33" s="125"/>
      <c r="G33" s="125"/>
      <c r="H33" s="125"/>
      <c r="I33" s="125"/>
      <c r="J33" s="125"/>
      <c r="K33" s="125"/>
      <c r="L33" s="125"/>
      <c r="M33" s="125"/>
      <c r="N33" s="125"/>
      <c r="O33" s="125"/>
      <c r="P33" s="125"/>
      <c r="Q33" s="125"/>
      <c r="R33" s="125"/>
      <c r="S33" s="125"/>
      <c r="T33" s="125"/>
      <c r="U33" s="126"/>
      <c r="V33" s="98">
        <v>30000</v>
      </c>
      <c r="W33" s="99"/>
      <c r="X33" s="99"/>
      <c r="Y33" s="100"/>
      <c r="Z33" s="91"/>
      <c r="AA33" s="92"/>
      <c r="AB33" s="93" t="str">
        <f>IF(Z33="","",V33*Z33)</f>
        <v/>
      </c>
      <c r="AC33" s="94"/>
      <c r="AD33" s="94"/>
      <c r="AE33" s="94"/>
      <c r="AF33" s="95"/>
      <c r="AG33" s="6"/>
      <c r="AH33" s="34"/>
      <c r="AI33" s="28"/>
      <c r="AJ33" s="74"/>
      <c r="AK33" s="74"/>
      <c r="AL33" s="74"/>
      <c r="AM33" s="75"/>
    </row>
    <row r="34" spans="1:39" ht="13.5" customHeight="1">
      <c r="A34" s="5"/>
      <c r="B34" s="124"/>
      <c r="C34" s="125"/>
      <c r="D34" s="125"/>
      <c r="E34" s="125"/>
      <c r="F34" s="125"/>
      <c r="G34" s="125"/>
      <c r="H34" s="125"/>
      <c r="I34" s="125"/>
      <c r="J34" s="125"/>
      <c r="K34" s="125"/>
      <c r="L34" s="125"/>
      <c r="M34" s="125"/>
      <c r="N34" s="125"/>
      <c r="O34" s="125"/>
      <c r="P34" s="125"/>
      <c r="Q34" s="125"/>
      <c r="R34" s="125"/>
      <c r="S34" s="125"/>
      <c r="T34" s="125"/>
      <c r="U34" s="126"/>
      <c r="V34" s="98"/>
      <c r="W34" s="99"/>
      <c r="X34" s="99"/>
      <c r="Y34" s="100"/>
      <c r="Z34" s="91"/>
      <c r="AA34" s="92"/>
      <c r="AB34" s="93" t="str">
        <f>IF(Z34="","",V34*Z34)</f>
        <v/>
      </c>
      <c r="AC34" s="94"/>
      <c r="AD34" s="94"/>
      <c r="AE34" s="94"/>
      <c r="AF34" s="95"/>
      <c r="AG34" s="6"/>
      <c r="AH34" s="34"/>
      <c r="AI34" s="28"/>
      <c r="AJ34" s="74"/>
      <c r="AK34" s="74"/>
      <c r="AL34" s="74"/>
      <c r="AM34" s="75"/>
    </row>
    <row r="35" spans="1:39" ht="13.5" customHeight="1">
      <c r="A35" s="5"/>
      <c r="B35" s="124"/>
      <c r="C35" s="125"/>
      <c r="D35" s="125"/>
      <c r="E35" s="125"/>
      <c r="F35" s="125"/>
      <c r="G35" s="125"/>
      <c r="H35" s="125"/>
      <c r="I35" s="125"/>
      <c r="J35" s="125"/>
      <c r="K35" s="125"/>
      <c r="L35" s="125"/>
      <c r="M35" s="125"/>
      <c r="N35" s="125"/>
      <c r="O35" s="125"/>
      <c r="P35" s="125"/>
      <c r="Q35" s="125"/>
      <c r="R35" s="125"/>
      <c r="S35" s="125"/>
      <c r="T35" s="125"/>
      <c r="U35" s="126"/>
      <c r="V35" s="98"/>
      <c r="W35" s="99"/>
      <c r="X35" s="99"/>
      <c r="Y35" s="100"/>
      <c r="Z35" s="91"/>
      <c r="AA35" s="92"/>
      <c r="AB35" s="93" t="str">
        <f>IF(Z35="","",V35*Z35)</f>
        <v/>
      </c>
      <c r="AC35" s="94"/>
      <c r="AD35" s="94"/>
      <c r="AE35" s="94"/>
      <c r="AF35" s="95"/>
      <c r="AG35" s="6"/>
      <c r="AH35" s="34"/>
      <c r="AI35" s="28"/>
      <c r="AJ35" s="74"/>
      <c r="AK35" s="74"/>
      <c r="AL35" s="74"/>
      <c r="AM35" s="75"/>
    </row>
    <row r="36" spans="1:39" ht="13.5" customHeight="1">
      <c r="A36" s="5"/>
      <c r="B36" s="135" t="s">
        <v>13</v>
      </c>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c r="AB36" s="93">
        <f>SUM(AB33:AF35)</f>
        <v>0</v>
      </c>
      <c r="AC36" s="94"/>
      <c r="AD36" s="94"/>
      <c r="AE36" s="94"/>
      <c r="AF36" s="95"/>
      <c r="AG36" s="6"/>
      <c r="AH36" s="34"/>
      <c r="AI36" s="28"/>
      <c r="AJ36" s="74"/>
      <c r="AK36" s="74"/>
      <c r="AL36" s="74"/>
      <c r="AM36" s="75"/>
    </row>
    <row r="37" spans="1:39" ht="6" customHeight="1">
      <c r="A37" s="5"/>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6"/>
      <c r="AH37" s="34"/>
      <c r="AI37" s="28"/>
      <c r="AJ37" s="74"/>
      <c r="AK37" s="74"/>
      <c r="AL37" s="74"/>
      <c r="AM37" s="75"/>
    </row>
    <row r="38" spans="1:39" ht="13.5" customHeight="1">
      <c r="A38" s="5"/>
      <c r="B38" s="118" t="s">
        <v>14</v>
      </c>
      <c r="C38" s="119"/>
      <c r="D38" s="119"/>
      <c r="E38" s="119"/>
      <c r="F38" s="119"/>
      <c r="G38" s="120"/>
      <c r="H38" s="121" t="s">
        <v>29</v>
      </c>
      <c r="I38" s="122"/>
      <c r="J38" s="122"/>
      <c r="K38" s="122"/>
      <c r="L38" s="122"/>
      <c r="M38" s="122"/>
      <c r="N38" s="122"/>
      <c r="O38" s="122"/>
      <c r="P38" s="122"/>
      <c r="Q38" s="122"/>
      <c r="R38" s="122"/>
      <c r="S38" s="122"/>
      <c r="T38" s="122"/>
      <c r="U38" s="123"/>
      <c r="V38" s="161" t="s">
        <v>40</v>
      </c>
      <c r="W38" s="161"/>
      <c r="X38" s="161"/>
      <c r="Y38" s="162"/>
      <c r="Z38" s="163" t="s">
        <v>48</v>
      </c>
      <c r="AA38" s="163"/>
      <c r="AB38" s="161" t="s">
        <v>51</v>
      </c>
      <c r="AC38" s="161"/>
      <c r="AD38" s="161"/>
      <c r="AE38" s="161"/>
      <c r="AF38" s="161"/>
      <c r="AG38" s="6"/>
      <c r="AH38" s="34"/>
      <c r="AI38" s="28"/>
      <c r="AJ38" s="71" t="s">
        <v>64</v>
      </c>
      <c r="AK38" s="72"/>
      <c r="AL38" s="72"/>
      <c r="AM38" s="73" t="s">
        <v>40</v>
      </c>
    </row>
    <row r="39" spans="1:39" ht="13.5" customHeight="1">
      <c r="A39" s="5"/>
      <c r="B39" s="160" t="s">
        <v>15</v>
      </c>
      <c r="C39" s="152"/>
      <c r="D39" s="152"/>
      <c r="E39" s="152"/>
      <c r="F39" s="152"/>
      <c r="G39" s="153"/>
      <c r="H39" s="154"/>
      <c r="I39" s="155"/>
      <c r="J39" s="155"/>
      <c r="K39" s="155"/>
      <c r="L39" s="155"/>
      <c r="M39" s="155"/>
      <c r="N39" s="155"/>
      <c r="O39" s="155"/>
      <c r="P39" s="156"/>
      <c r="Q39" s="155"/>
      <c r="R39" s="155"/>
      <c r="S39" s="155"/>
      <c r="T39" s="155"/>
      <c r="U39" s="155"/>
      <c r="V39" s="157"/>
      <c r="W39" s="94"/>
      <c r="X39" s="94"/>
      <c r="Y39" s="155"/>
      <c r="Z39" s="158"/>
      <c r="AA39" s="159"/>
      <c r="AB39" s="157"/>
      <c r="AC39" s="94"/>
      <c r="AD39" s="94"/>
      <c r="AE39" s="94"/>
      <c r="AF39" s="95"/>
      <c r="AG39" s="6"/>
      <c r="AH39" s="34"/>
      <c r="AI39" s="28"/>
      <c r="AJ39" s="69" t="s">
        <v>65</v>
      </c>
      <c r="AK39" s="69" t="s">
        <v>91</v>
      </c>
      <c r="AL39" s="70" t="s">
        <v>93</v>
      </c>
      <c r="AM39" s="68">
        <v>30000</v>
      </c>
    </row>
    <row r="40" spans="1:39" ht="13.5" customHeight="1">
      <c r="A40" s="5"/>
      <c r="B40" s="124" t="str">
        <f t="shared" ref="B40:B46" si="0">IF(H40="","",VLOOKUP(H40,$AJ$39:$AM$55,2,FALSE))</f>
        <v/>
      </c>
      <c r="C40" s="125"/>
      <c r="D40" s="125"/>
      <c r="E40" s="125"/>
      <c r="F40" s="125"/>
      <c r="G40" s="126"/>
      <c r="H40" s="96"/>
      <c r="I40" s="96"/>
      <c r="J40" s="96"/>
      <c r="K40" s="96"/>
      <c r="L40" s="96"/>
      <c r="M40" s="96"/>
      <c r="N40" s="96"/>
      <c r="O40" s="96"/>
      <c r="P40" s="127" t="str">
        <f t="shared" ref="P40:P46" si="1">IF(H40="","",VLOOKUP(H40,$AJ$39:$AM$55,3,FALSE))</f>
        <v/>
      </c>
      <c r="Q40" s="128"/>
      <c r="R40" s="128"/>
      <c r="S40" s="128"/>
      <c r="T40" s="128"/>
      <c r="U40" s="129"/>
      <c r="V40" s="98" t="str">
        <f t="shared" ref="V40:V46" si="2">IF(H40="","",VLOOKUP(H40,$AJ$39:$AM$55,4,FALSE))</f>
        <v/>
      </c>
      <c r="W40" s="99"/>
      <c r="X40" s="99"/>
      <c r="Y40" s="100"/>
      <c r="Z40" s="91"/>
      <c r="AA40" s="92"/>
      <c r="AB40" s="93" t="str">
        <f t="shared" ref="AB40:AB46" si="3">IF(Z40="","",V40*Z40)</f>
        <v/>
      </c>
      <c r="AC40" s="94"/>
      <c r="AD40" s="94"/>
      <c r="AE40" s="94"/>
      <c r="AF40" s="95"/>
      <c r="AG40" s="6"/>
      <c r="AH40" s="34"/>
      <c r="AI40" s="28"/>
      <c r="AJ40" s="69" t="s">
        <v>66</v>
      </c>
      <c r="AK40" s="69" t="s">
        <v>91</v>
      </c>
      <c r="AL40" s="70" t="s">
        <v>93</v>
      </c>
      <c r="AM40" s="68">
        <v>45000</v>
      </c>
    </row>
    <row r="41" spans="1:39" ht="13.5" customHeight="1">
      <c r="A41" s="5"/>
      <c r="B41" s="124" t="str">
        <f t="shared" si="0"/>
        <v/>
      </c>
      <c r="C41" s="125"/>
      <c r="D41" s="125"/>
      <c r="E41" s="125"/>
      <c r="F41" s="125"/>
      <c r="G41" s="126"/>
      <c r="H41" s="96"/>
      <c r="I41" s="96"/>
      <c r="J41" s="96"/>
      <c r="K41" s="96"/>
      <c r="L41" s="96"/>
      <c r="M41" s="96"/>
      <c r="N41" s="96"/>
      <c r="O41" s="96"/>
      <c r="P41" s="127" t="str">
        <f t="shared" si="1"/>
        <v/>
      </c>
      <c r="Q41" s="128"/>
      <c r="R41" s="128"/>
      <c r="S41" s="128"/>
      <c r="T41" s="128"/>
      <c r="U41" s="129"/>
      <c r="V41" s="98" t="str">
        <f t="shared" si="2"/>
        <v/>
      </c>
      <c r="W41" s="99"/>
      <c r="X41" s="99"/>
      <c r="Y41" s="100"/>
      <c r="Z41" s="91"/>
      <c r="AA41" s="92"/>
      <c r="AB41" s="93" t="str">
        <f t="shared" si="3"/>
        <v/>
      </c>
      <c r="AC41" s="94"/>
      <c r="AD41" s="94"/>
      <c r="AE41" s="94"/>
      <c r="AF41" s="95"/>
      <c r="AG41" s="6"/>
      <c r="AH41" s="34"/>
      <c r="AI41" s="28"/>
      <c r="AJ41" s="69" t="s">
        <v>67</v>
      </c>
      <c r="AK41" s="69" t="s">
        <v>91</v>
      </c>
      <c r="AL41" s="69" t="s">
        <v>94</v>
      </c>
      <c r="AM41" s="68">
        <v>66000</v>
      </c>
    </row>
    <row r="42" spans="1:39" ht="13.5" customHeight="1">
      <c r="A42" s="5"/>
      <c r="B42" s="124" t="str">
        <f t="shared" si="0"/>
        <v/>
      </c>
      <c r="C42" s="125"/>
      <c r="D42" s="125"/>
      <c r="E42" s="125"/>
      <c r="F42" s="125"/>
      <c r="G42" s="126"/>
      <c r="H42" s="96"/>
      <c r="I42" s="96"/>
      <c r="J42" s="96"/>
      <c r="K42" s="96"/>
      <c r="L42" s="96"/>
      <c r="M42" s="96"/>
      <c r="N42" s="96"/>
      <c r="O42" s="96"/>
      <c r="P42" s="127" t="str">
        <f t="shared" si="1"/>
        <v/>
      </c>
      <c r="Q42" s="128"/>
      <c r="R42" s="128"/>
      <c r="S42" s="128"/>
      <c r="T42" s="128"/>
      <c r="U42" s="129"/>
      <c r="V42" s="98" t="str">
        <f t="shared" si="2"/>
        <v/>
      </c>
      <c r="W42" s="99"/>
      <c r="X42" s="99"/>
      <c r="Y42" s="100"/>
      <c r="Z42" s="91"/>
      <c r="AA42" s="92"/>
      <c r="AB42" s="93" t="str">
        <f t="shared" si="3"/>
        <v/>
      </c>
      <c r="AC42" s="94"/>
      <c r="AD42" s="94"/>
      <c r="AE42" s="94"/>
      <c r="AF42" s="95"/>
      <c r="AG42" s="6"/>
      <c r="AH42" s="34"/>
      <c r="AI42" s="28"/>
      <c r="AJ42" s="69" t="s">
        <v>68</v>
      </c>
      <c r="AK42" s="69" t="s">
        <v>91</v>
      </c>
      <c r="AL42" s="69" t="s">
        <v>95</v>
      </c>
      <c r="AM42" s="68">
        <v>84000</v>
      </c>
    </row>
    <row r="43" spans="1:39" ht="13.5" customHeight="1">
      <c r="A43" s="5"/>
      <c r="B43" s="124" t="str">
        <f t="shared" si="0"/>
        <v/>
      </c>
      <c r="C43" s="125"/>
      <c r="D43" s="125"/>
      <c r="E43" s="125"/>
      <c r="F43" s="125"/>
      <c r="G43" s="126"/>
      <c r="H43" s="96"/>
      <c r="I43" s="96"/>
      <c r="J43" s="96"/>
      <c r="K43" s="96"/>
      <c r="L43" s="96"/>
      <c r="M43" s="96"/>
      <c r="N43" s="96"/>
      <c r="O43" s="96"/>
      <c r="P43" s="127" t="str">
        <f t="shared" si="1"/>
        <v/>
      </c>
      <c r="Q43" s="128"/>
      <c r="R43" s="128"/>
      <c r="S43" s="128"/>
      <c r="T43" s="128"/>
      <c r="U43" s="129"/>
      <c r="V43" s="98" t="str">
        <f t="shared" si="2"/>
        <v/>
      </c>
      <c r="W43" s="99"/>
      <c r="X43" s="99"/>
      <c r="Y43" s="100"/>
      <c r="Z43" s="91"/>
      <c r="AA43" s="92"/>
      <c r="AB43" s="93" t="str">
        <f t="shared" si="3"/>
        <v/>
      </c>
      <c r="AC43" s="94"/>
      <c r="AD43" s="94"/>
      <c r="AE43" s="94"/>
      <c r="AF43" s="95"/>
      <c r="AG43" s="6"/>
      <c r="AH43" s="34"/>
      <c r="AI43" s="28"/>
      <c r="AJ43" s="69" t="s">
        <v>69</v>
      </c>
      <c r="AK43" s="69" t="s">
        <v>91</v>
      </c>
      <c r="AL43" s="69" t="s">
        <v>96</v>
      </c>
      <c r="AM43" s="68">
        <v>65000</v>
      </c>
    </row>
    <row r="44" spans="1:39" ht="13.5" customHeight="1">
      <c r="A44" s="5"/>
      <c r="B44" s="124" t="str">
        <f t="shared" si="0"/>
        <v/>
      </c>
      <c r="C44" s="125"/>
      <c r="D44" s="125"/>
      <c r="E44" s="125"/>
      <c r="F44" s="125"/>
      <c r="G44" s="126"/>
      <c r="H44" s="96"/>
      <c r="I44" s="96"/>
      <c r="J44" s="96"/>
      <c r="K44" s="96"/>
      <c r="L44" s="96"/>
      <c r="M44" s="96"/>
      <c r="N44" s="96"/>
      <c r="O44" s="96"/>
      <c r="P44" s="127" t="str">
        <f t="shared" si="1"/>
        <v/>
      </c>
      <c r="Q44" s="128"/>
      <c r="R44" s="128"/>
      <c r="S44" s="128"/>
      <c r="T44" s="128"/>
      <c r="U44" s="129"/>
      <c r="V44" s="98" t="str">
        <f t="shared" si="2"/>
        <v/>
      </c>
      <c r="W44" s="99"/>
      <c r="X44" s="99"/>
      <c r="Y44" s="100"/>
      <c r="Z44" s="91"/>
      <c r="AA44" s="92"/>
      <c r="AB44" s="93" t="str">
        <f t="shared" si="3"/>
        <v/>
      </c>
      <c r="AC44" s="94"/>
      <c r="AD44" s="94"/>
      <c r="AE44" s="94"/>
      <c r="AF44" s="95"/>
      <c r="AG44" s="6"/>
      <c r="AH44" s="34"/>
      <c r="AI44" s="28"/>
      <c r="AJ44" s="69" t="s">
        <v>70</v>
      </c>
      <c r="AK44" s="69" t="s">
        <v>91</v>
      </c>
      <c r="AL44" s="69" t="s">
        <v>96</v>
      </c>
      <c r="AM44" s="68">
        <v>22500</v>
      </c>
    </row>
    <row r="45" spans="1:39" ht="13.5" customHeight="1">
      <c r="A45" s="5"/>
      <c r="B45" s="124" t="str">
        <f t="shared" si="0"/>
        <v/>
      </c>
      <c r="C45" s="125"/>
      <c r="D45" s="125"/>
      <c r="E45" s="125"/>
      <c r="F45" s="125"/>
      <c r="G45" s="126"/>
      <c r="H45" s="96"/>
      <c r="I45" s="96"/>
      <c r="J45" s="96"/>
      <c r="K45" s="96"/>
      <c r="L45" s="96"/>
      <c r="M45" s="96"/>
      <c r="N45" s="96"/>
      <c r="O45" s="96"/>
      <c r="P45" s="127" t="str">
        <f t="shared" si="1"/>
        <v/>
      </c>
      <c r="Q45" s="128"/>
      <c r="R45" s="128"/>
      <c r="S45" s="128"/>
      <c r="T45" s="128"/>
      <c r="U45" s="129"/>
      <c r="V45" s="98" t="str">
        <f t="shared" si="2"/>
        <v/>
      </c>
      <c r="W45" s="99"/>
      <c r="X45" s="99"/>
      <c r="Y45" s="100"/>
      <c r="Z45" s="91"/>
      <c r="AA45" s="92"/>
      <c r="AB45" s="93" t="str">
        <f t="shared" si="3"/>
        <v/>
      </c>
      <c r="AC45" s="94"/>
      <c r="AD45" s="94"/>
      <c r="AE45" s="94"/>
      <c r="AF45" s="95"/>
      <c r="AG45" s="6"/>
      <c r="AH45" s="34"/>
      <c r="AI45" s="28"/>
      <c r="AJ45" s="69" t="s">
        <v>71</v>
      </c>
      <c r="AK45" s="69" t="s">
        <v>92</v>
      </c>
      <c r="AL45" s="69" t="s">
        <v>97</v>
      </c>
      <c r="AM45" s="68">
        <v>5000</v>
      </c>
    </row>
    <row r="46" spans="1:39" ht="13.5" customHeight="1">
      <c r="A46" s="5"/>
      <c r="B46" s="124" t="str">
        <f t="shared" si="0"/>
        <v/>
      </c>
      <c r="C46" s="125"/>
      <c r="D46" s="125"/>
      <c r="E46" s="125"/>
      <c r="F46" s="125"/>
      <c r="G46" s="126"/>
      <c r="H46" s="96"/>
      <c r="I46" s="96"/>
      <c r="J46" s="96"/>
      <c r="K46" s="96"/>
      <c r="L46" s="96"/>
      <c r="M46" s="96"/>
      <c r="N46" s="96"/>
      <c r="O46" s="96"/>
      <c r="P46" s="127" t="str">
        <f t="shared" si="1"/>
        <v/>
      </c>
      <c r="Q46" s="128"/>
      <c r="R46" s="128"/>
      <c r="S46" s="128"/>
      <c r="T46" s="128"/>
      <c r="U46" s="129"/>
      <c r="V46" s="98" t="str">
        <f t="shared" si="2"/>
        <v/>
      </c>
      <c r="W46" s="99"/>
      <c r="X46" s="99"/>
      <c r="Y46" s="100"/>
      <c r="Z46" s="91"/>
      <c r="AA46" s="92"/>
      <c r="AB46" s="93" t="str">
        <f t="shared" si="3"/>
        <v/>
      </c>
      <c r="AC46" s="94"/>
      <c r="AD46" s="94"/>
      <c r="AE46" s="94"/>
      <c r="AF46" s="95"/>
      <c r="AG46" s="6"/>
      <c r="AH46" s="34"/>
      <c r="AI46" s="28"/>
      <c r="AJ46" s="76"/>
      <c r="AK46" s="76"/>
      <c r="AL46" s="76"/>
      <c r="AM46" s="75"/>
    </row>
    <row r="47" spans="1:39" ht="13.5" customHeight="1">
      <c r="A47" s="5"/>
      <c r="B47" s="151" t="s">
        <v>16</v>
      </c>
      <c r="C47" s="152"/>
      <c r="D47" s="152"/>
      <c r="E47" s="152"/>
      <c r="F47" s="152"/>
      <c r="G47" s="153"/>
      <c r="H47" s="154"/>
      <c r="I47" s="155"/>
      <c r="J47" s="155"/>
      <c r="K47" s="155"/>
      <c r="L47" s="155"/>
      <c r="M47" s="155"/>
      <c r="N47" s="155"/>
      <c r="O47" s="155"/>
      <c r="P47" s="156"/>
      <c r="Q47" s="155"/>
      <c r="R47" s="155"/>
      <c r="S47" s="155"/>
      <c r="T47" s="155"/>
      <c r="U47" s="155"/>
      <c r="V47" s="157"/>
      <c r="W47" s="94"/>
      <c r="X47" s="94"/>
      <c r="Y47" s="155"/>
      <c r="Z47" s="158"/>
      <c r="AA47" s="159"/>
      <c r="AB47" s="157"/>
      <c r="AC47" s="94"/>
      <c r="AD47" s="94"/>
      <c r="AE47" s="94"/>
      <c r="AF47" s="95"/>
      <c r="AG47" s="6"/>
      <c r="AH47" s="34"/>
      <c r="AI47" s="28"/>
      <c r="AJ47" s="71" t="s">
        <v>72</v>
      </c>
      <c r="AK47" s="72"/>
      <c r="AL47" s="72"/>
      <c r="AM47" s="73" t="s">
        <v>40</v>
      </c>
    </row>
    <row r="48" spans="1:39" ht="13.5" customHeight="1">
      <c r="A48" s="5"/>
      <c r="B48" s="124" t="str">
        <f t="shared" ref="B48:B53" si="4">IF(H48="","",VLOOKUP(H48,$AJ$48:$AM$64,2,FALSE))</f>
        <v/>
      </c>
      <c r="C48" s="125"/>
      <c r="D48" s="125"/>
      <c r="E48" s="125"/>
      <c r="F48" s="125"/>
      <c r="G48" s="126"/>
      <c r="H48" s="96"/>
      <c r="I48" s="96"/>
      <c r="J48" s="96"/>
      <c r="K48" s="96"/>
      <c r="L48" s="96"/>
      <c r="M48" s="96"/>
      <c r="N48" s="96"/>
      <c r="O48" s="96"/>
      <c r="P48" s="97" t="str">
        <f t="shared" ref="P48:P53" si="5">IF(H48="","",VLOOKUP(H48,$AJ$48:$AM$64,3,FALSE))</f>
        <v/>
      </c>
      <c r="Q48" s="97"/>
      <c r="R48" s="97"/>
      <c r="S48" s="97"/>
      <c r="T48" s="97"/>
      <c r="U48" s="97"/>
      <c r="V48" s="98" t="str">
        <f t="shared" ref="V48:V53" si="6">IF(H48="","",VLOOKUP(H48,$AJ$48:$AM$64,4,FALSE))</f>
        <v/>
      </c>
      <c r="W48" s="99"/>
      <c r="X48" s="99"/>
      <c r="Y48" s="100"/>
      <c r="Z48" s="91"/>
      <c r="AA48" s="92"/>
      <c r="AB48" s="93" t="str">
        <f t="shared" ref="AB48:AB53" si="7">IF(Z48="","",V48*Z48)</f>
        <v/>
      </c>
      <c r="AC48" s="94"/>
      <c r="AD48" s="94"/>
      <c r="AE48" s="94"/>
      <c r="AF48" s="95"/>
      <c r="AG48" s="6"/>
      <c r="AH48" s="34"/>
      <c r="AI48" s="28"/>
      <c r="AJ48" s="69" t="s">
        <v>73</v>
      </c>
      <c r="AK48" s="69" t="s">
        <v>91</v>
      </c>
      <c r="AL48" s="90" t="s">
        <v>98</v>
      </c>
      <c r="AM48" s="68">
        <v>300</v>
      </c>
    </row>
    <row r="49" spans="1:39" ht="13.5" customHeight="1">
      <c r="A49" s="5"/>
      <c r="B49" s="124" t="str">
        <f t="shared" si="4"/>
        <v/>
      </c>
      <c r="C49" s="125"/>
      <c r="D49" s="125"/>
      <c r="E49" s="125"/>
      <c r="F49" s="125"/>
      <c r="G49" s="126"/>
      <c r="H49" s="96"/>
      <c r="I49" s="96"/>
      <c r="J49" s="96"/>
      <c r="K49" s="96"/>
      <c r="L49" s="96"/>
      <c r="M49" s="96"/>
      <c r="N49" s="96"/>
      <c r="O49" s="96"/>
      <c r="P49" s="97" t="str">
        <f t="shared" si="5"/>
        <v/>
      </c>
      <c r="Q49" s="97"/>
      <c r="R49" s="97"/>
      <c r="S49" s="97"/>
      <c r="T49" s="97"/>
      <c r="U49" s="97"/>
      <c r="V49" s="98" t="str">
        <f t="shared" si="6"/>
        <v/>
      </c>
      <c r="W49" s="99"/>
      <c r="X49" s="99"/>
      <c r="Y49" s="100"/>
      <c r="Z49" s="91"/>
      <c r="AA49" s="92"/>
      <c r="AB49" s="93" t="str">
        <f t="shared" si="7"/>
        <v/>
      </c>
      <c r="AC49" s="94"/>
      <c r="AD49" s="94"/>
      <c r="AE49" s="94"/>
      <c r="AF49" s="95"/>
      <c r="AG49" s="6"/>
      <c r="AH49" s="34"/>
      <c r="AI49" s="28"/>
      <c r="AJ49" s="69" t="s">
        <v>74</v>
      </c>
      <c r="AK49" s="69" t="s">
        <v>91</v>
      </c>
      <c r="AL49" s="90" t="s">
        <v>99</v>
      </c>
      <c r="AM49" s="68">
        <v>680</v>
      </c>
    </row>
    <row r="50" spans="1:39" ht="13.5" customHeight="1">
      <c r="A50" s="5"/>
      <c r="B50" s="124" t="str">
        <f t="shared" si="4"/>
        <v/>
      </c>
      <c r="C50" s="125"/>
      <c r="D50" s="125"/>
      <c r="E50" s="125"/>
      <c r="F50" s="125"/>
      <c r="G50" s="126"/>
      <c r="H50" s="96"/>
      <c r="I50" s="96"/>
      <c r="J50" s="96"/>
      <c r="K50" s="96"/>
      <c r="L50" s="96"/>
      <c r="M50" s="96"/>
      <c r="N50" s="96"/>
      <c r="O50" s="96"/>
      <c r="P50" s="97" t="str">
        <f t="shared" si="5"/>
        <v/>
      </c>
      <c r="Q50" s="97"/>
      <c r="R50" s="97"/>
      <c r="S50" s="97"/>
      <c r="T50" s="97"/>
      <c r="U50" s="97"/>
      <c r="V50" s="98" t="str">
        <f t="shared" si="6"/>
        <v/>
      </c>
      <c r="W50" s="99"/>
      <c r="X50" s="99"/>
      <c r="Y50" s="100"/>
      <c r="Z50" s="91"/>
      <c r="AA50" s="92"/>
      <c r="AB50" s="93" t="str">
        <f t="shared" si="7"/>
        <v/>
      </c>
      <c r="AC50" s="94"/>
      <c r="AD50" s="94"/>
      <c r="AE50" s="94"/>
      <c r="AF50" s="95"/>
      <c r="AG50" s="6"/>
      <c r="AH50" s="34"/>
      <c r="AI50" s="28"/>
      <c r="AJ50" s="69" t="s">
        <v>75</v>
      </c>
      <c r="AK50" s="69" t="s">
        <v>91</v>
      </c>
      <c r="AL50" s="90" t="s">
        <v>100</v>
      </c>
      <c r="AM50" s="68">
        <v>1050</v>
      </c>
    </row>
    <row r="51" spans="1:39" ht="13.5" customHeight="1">
      <c r="A51" s="5"/>
      <c r="B51" s="124" t="str">
        <f t="shared" si="4"/>
        <v/>
      </c>
      <c r="C51" s="125"/>
      <c r="D51" s="125"/>
      <c r="E51" s="125"/>
      <c r="F51" s="125"/>
      <c r="G51" s="126"/>
      <c r="H51" s="96"/>
      <c r="I51" s="96"/>
      <c r="J51" s="96"/>
      <c r="K51" s="96"/>
      <c r="L51" s="96"/>
      <c r="M51" s="96"/>
      <c r="N51" s="96"/>
      <c r="O51" s="96"/>
      <c r="P51" s="97" t="str">
        <f t="shared" si="5"/>
        <v/>
      </c>
      <c r="Q51" s="97"/>
      <c r="R51" s="97"/>
      <c r="S51" s="97"/>
      <c r="T51" s="97"/>
      <c r="U51" s="97"/>
      <c r="V51" s="98" t="str">
        <f t="shared" si="6"/>
        <v/>
      </c>
      <c r="W51" s="99"/>
      <c r="X51" s="99"/>
      <c r="Y51" s="100"/>
      <c r="Z51" s="91"/>
      <c r="AA51" s="92"/>
      <c r="AB51" s="93" t="str">
        <f t="shared" si="7"/>
        <v/>
      </c>
      <c r="AC51" s="94"/>
      <c r="AD51" s="94"/>
      <c r="AE51" s="94"/>
      <c r="AF51" s="95"/>
      <c r="AG51" s="6"/>
      <c r="AH51" s="34"/>
      <c r="AI51" s="28"/>
      <c r="AJ51" s="69" t="s">
        <v>76</v>
      </c>
      <c r="AK51" s="69" t="s">
        <v>91</v>
      </c>
      <c r="AL51" s="90" t="s">
        <v>98</v>
      </c>
      <c r="AM51" s="68">
        <v>300</v>
      </c>
    </row>
    <row r="52" spans="1:39" ht="13.5" customHeight="1">
      <c r="A52" s="5"/>
      <c r="B52" s="124" t="str">
        <f t="shared" si="4"/>
        <v/>
      </c>
      <c r="C52" s="125"/>
      <c r="D52" s="125"/>
      <c r="E52" s="125"/>
      <c r="F52" s="125"/>
      <c r="G52" s="126"/>
      <c r="H52" s="96"/>
      <c r="I52" s="96"/>
      <c r="J52" s="96"/>
      <c r="K52" s="96"/>
      <c r="L52" s="96"/>
      <c r="M52" s="96"/>
      <c r="N52" s="96"/>
      <c r="O52" s="96"/>
      <c r="P52" s="97" t="str">
        <f t="shared" si="5"/>
        <v/>
      </c>
      <c r="Q52" s="97"/>
      <c r="R52" s="97"/>
      <c r="S52" s="97"/>
      <c r="T52" s="97"/>
      <c r="U52" s="97"/>
      <c r="V52" s="98" t="str">
        <f t="shared" si="6"/>
        <v/>
      </c>
      <c r="W52" s="99"/>
      <c r="X52" s="99"/>
      <c r="Y52" s="100"/>
      <c r="Z52" s="91"/>
      <c r="AA52" s="92"/>
      <c r="AB52" s="93" t="str">
        <f t="shared" si="7"/>
        <v/>
      </c>
      <c r="AC52" s="94"/>
      <c r="AD52" s="94"/>
      <c r="AE52" s="94"/>
      <c r="AF52" s="95"/>
      <c r="AG52" s="6"/>
      <c r="AH52" s="34"/>
      <c r="AI52" s="28"/>
      <c r="AJ52" s="69" t="s">
        <v>77</v>
      </c>
      <c r="AK52" s="69" t="s">
        <v>91</v>
      </c>
      <c r="AL52" s="90" t="s">
        <v>99</v>
      </c>
      <c r="AM52" s="68">
        <v>870</v>
      </c>
    </row>
    <row r="53" spans="1:39" ht="13.5" customHeight="1">
      <c r="A53" s="5"/>
      <c r="B53" s="124" t="str">
        <f t="shared" si="4"/>
        <v/>
      </c>
      <c r="C53" s="125"/>
      <c r="D53" s="125"/>
      <c r="E53" s="125"/>
      <c r="F53" s="125"/>
      <c r="G53" s="126"/>
      <c r="H53" s="96"/>
      <c r="I53" s="96"/>
      <c r="J53" s="96"/>
      <c r="K53" s="96"/>
      <c r="L53" s="96"/>
      <c r="M53" s="96"/>
      <c r="N53" s="96"/>
      <c r="O53" s="96"/>
      <c r="P53" s="97" t="str">
        <f t="shared" si="5"/>
        <v/>
      </c>
      <c r="Q53" s="97"/>
      <c r="R53" s="97"/>
      <c r="S53" s="97"/>
      <c r="T53" s="97"/>
      <c r="U53" s="97"/>
      <c r="V53" s="98" t="str">
        <f t="shared" si="6"/>
        <v/>
      </c>
      <c r="W53" s="99"/>
      <c r="X53" s="99"/>
      <c r="Y53" s="100"/>
      <c r="Z53" s="91"/>
      <c r="AA53" s="92"/>
      <c r="AB53" s="93" t="str">
        <f t="shared" si="7"/>
        <v/>
      </c>
      <c r="AC53" s="94"/>
      <c r="AD53" s="94"/>
      <c r="AE53" s="94"/>
      <c r="AF53" s="95"/>
      <c r="AG53" s="6"/>
      <c r="AH53" s="34"/>
      <c r="AI53" s="28"/>
      <c r="AJ53" s="89" t="s">
        <v>78</v>
      </c>
      <c r="AK53" s="69" t="s">
        <v>91</v>
      </c>
      <c r="AL53" s="70" t="s">
        <v>100</v>
      </c>
      <c r="AM53" s="68">
        <v>1430</v>
      </c>
    </row>
    <row r="54" spans="1:39" ht="13.5" customHeight="1">
      <c r="A54" s="5"/>
      <c r="B54" s="135" t="s">
        <v>13</v>
      </c>
      <c r="C54" s="136"/>
      <c r="D54" s="136"/>
      <c r="E54" s="136"/>
      <c r="F54" s="136"/>
      <c r="G54" s="136"/>
      <c r="H54" s="136"/>
      <c r="I54" s="136"/>
      <c r="J54" s="136"/>
      <c r="K54" s="136"/>
      <c r="L54" s="136"/>
      <c r="M54" s="136"/>
      <c r="N54" s="136"/>
      <c r="O54" s="136"/>
      <c r="P54" s="136"/>
      <c r="Q54" s="136"/>
      <c r="R54" s="136"/>
      <c r="S54" s="136"/>
      <c r="T54" s="136"/>
      <c r="U54" s="136"/>
      <c r="V54" s="136"/>
      <c r="W54" s="136"/>
      <c r="X54" s="136"/>
      <c r="Y54" s="136"/>
      <c r="Z54" s="136"/>
      <c r="AA54" s="137"/>
      <c r="AB54" s="93">
        <f>SUM(AB48:AF53,AB40:AF46)</f>
        <v>0</v>
      </c>
      <c r="AC54" s="94"/>
      <c r="AD54" s="94"/>
      <c r="AE54" s="94"/>
      <c r="AF54" s="95"/>
      <c r="AG54" s="6"/>
      <c r="AH54" s="34"/>
      <c r="AI54" s="28"/>
      <c r="AJ54" s="89" t="s">
        <v>79</v>
      </c>
      <c r="AK54" s="69" t="s">
        <v>91</v>
      </c>
      <c r="AL54" s="70" t="s">
        <v>101</v>
      </c>
      <c r="AM54" s="68">
        <v>300</v>
      </c>
    </row>
    <row r="55" spans="1:39" ht="12" customHeight="1">
      <c r="A55" s="5"/>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6"/>
      <c r="AH55" s="34"/>
      <c r="AI55" s="28"/>
      <c r="AJ55" s="89" t="s">
        <v>80</v>
      </c>
      <c r="AK55" s="69" t="s">
        <v>91</v>
      </c>
      <c r="AL55" s="70" t="s">
        <v>102</v>
      </c>
      <c r="AM55" s="68">
        <v>850</v>
      </c>
    </row>
    <row r="56" spans="1:39" ht="13.5" customHeight="1">
      <c r="A56" s="5"/>
      <c r="B56" s="149" t="s">
        <v>17</v>
      </c>
      <c r="C56" s="149"/>
      <c r="D56" s="149"/>
      <c r="E56" s="149"/>
      <c r="F56" s="149"/>
      <c r="G56" s="149"/>
      <c r="H56" s="143" t="s">
        <v>30</v>
      </c>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5"/>
      <c r="AG56" s="6"/>
      <c r="AH56" s="34"/>
      <c r="AI56" s="28"/>
      <c r="AJ56" s="89" t="s">
        <v>81</v>
      </c>
      <c r="AK56" s="69" t="s">
        <v>91</v>
      </c>
      <c r="AL56" s="70" t="s">
        <v>103</v>
      </c>
      <c r="AM56" s="68">
        <v>1400</v>
      </c>
    </row>
    <row r="57" spans="1:39" ht="13.5" customHeight="1">
      <c r="A57" s="5"/>
      <c r="B57" s="150"/>
      <c r="C57" s="150"/>
      <c r="D57" s="150"/>
      <c r="E57" s="150"/>
      <c r="F57" s="150"/>
      <c r="G57" s="150"/>
      <c r="H57" s="146"/>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8"/>
      <c r="AG57" s="6"/>
      <c r="AH57" s="34"/>
      <c r="AI57" s="28"/>
      <c r="AJ57" s="89" t="s">
        <v>82</v>
      </c>
      <c r="AK57" s="69" t="s">
        <v>91</v>
      </c>
      <c r="AL57" s="70" t="s">
        <v>104</v>
      </c>
      <c r="AM57" s="68">
        <v>450</v>
      </c>
    </row>
    <row r="58" spans="1:39" ht="12" customHeight="1">
      <c r="A58" s="5"/>
      <c r="B58" s="3"/>
      <c r="C58" s="3"/>
      <c r="D58" s="3"/>
      <c r="E58" s="3"/>
      <c r="F58" s="3"/>
      <c r="G58" s="3"/>
      <c r="H58" s="2"/>
      <c r="I58" s="2"/>
      <c r="J58" s="2"/>
      <c r="K58" s="2"/>
      <c r="L58" s="2"/>
      <c r="M58" s="2"/>
      <c r="N58" s="2"/>
      <c r="O58" s="2"/>
      <c r="P58" s="2"/>
      <c r="Q58" s="2"/>
      <c r="R58" s="2"/>
      <c r="S58" s="2"/>
      <c r="T58" s="2"/>
      <c r="U58" s="2"/>
      <c r="V58" s="2"/>
      <c r="W58" s="2"/>
      <c r="X58" s="2"/>
      <c r="Y58" s="2"/>
      <c r="Z58" s="2"/>
      <c r="AA58" s="2"/>
      <c r="AB58" s="2"/>
      <c r="AC58" s="2"/>
      <c r="AD58" s="2"/>
      <c r="AE58" s="2"/>
      <c r="AF58" s="2"/>
      <c r="AG58" s="6"/>
      <c r="AH58" s="34"/>
      <c r="AI58" s="28"/>
      <c r="AJ58" s="89" t="s">
        <v>83</v>
      </c>
      <c r="AK58" s="69" t="s">
        <v>91</v>
      </c>
      <c r="AL58" s="70" t="s">
        <v>105</v>
      </c>
      <c r="AM58" s="68">
        <v>3250</v>
      </c>
    </row>
    <row r="59" spans="1:39" ht="13.5" customHeight="1">
      <c r="A59" s="5"/>
      <c r="B59" s="149" t="s">
        <v>18</v>
      </c>
      <c r="C59" s="149"/>
      <c r="D59" s="149"/>
      <c r="E59" s="149"/>
      <c r="F59" s="149"/>
      <c r="G59" s="149"/>
      <c r="H59" s="2"/>
      <c r="I59" s="2"/>
      <c r="J59" s="2"/>
      <c r="K59" s="2"/>
      <c r="L59" s="2"/>
      <c r="M59" s="2"/>
      <c r="N59" s="2"/>
      <c r="O59" s="2"/>
      <c r="P59" s="2"/>
      <c r="Q59" s="2"/>
      <c r="R59" s="2"/>
      <c r="S59" s="2"/>
      <c r="T59" s="2"/>
      <c r="U59" s="2"/>
      <c r="V59" s="2"/>
      <c r="W59" s="2"/>
      <c r="X59" s="2"/>
      <c r="Y59" s="2"/>
      <c r="Z59" s="2"/>
      <c r="AA59" s="2"/>
      <c r="AB59" s="2"/>
      <c r="AC59" s="2"/>
      <c r="AD59" s="2"/>
      <c r="AE59" s="2"/>
      <c r="AF59" s="2"/>
      <c r="AG59" s="6"/>
      <c r="AH59" s="34"/>
      <c r="AI59" s="28"/>
      <c r="AJ59" s="89" t="s">
        <v>84</v>
      </c>
      <c r="AK59" s="69" t="s">
        <v>91</v>
      </c>
      <c r="AL59" s="70" t="s">
        <v>106</v>
      </c>
      <c r="AM59" s="68">
        <v>6050</v>
      </c>
    </row>
    <row r="60" spans="1:39" s="9" customFormat="1" ht="11.25" customHeight="1">
      <c r="A60" s="7"/>
      <c r="B60" s="10" t="s">
        <v>19</v>
      </c>
      <c r="C60" s="138" t="s">
        <v>25</v>
      </c>
      <c r="D60" s="139"/>
      <c r="E60" s="139"/>
      <c r="F60" s="139"/>
      <c r="G60" s="139"/>
      <c r="H60" s="139"/>
      <c r="I60" s="139"/>
      <c r="J60" s="139"/>
      <c r="K60" s="139"/>
      <c r="L60" s="139"/>
      <c r="M60" s="139"/>
      <c r="N60" s="139"/>
      <c r="O60" s="139"/>
      <c r="P60" s="139"/>
      <c r="Q60" s="139"/>
      <c r="R60" s="139"/>
      <c r="S60" s="139"/>
      <c r="T60" s="139"/>
      <c r="U60" s="139"/>
      <c r="V60" s="139"/>
      <c r="W60" s="139"/>
      <c r="X60" s="139"/>
      <c r="Y60" s="139"/>
      <c r="Z60" s="139"/>
      <c r="AA60" s="139"/>
      <c r="AB60" s="139"/>
      <c r="AC60" s="139"/>
      <c r="AD60" s="139"/>
      <c r="AE60" s="139"/>
      <c r="AF60" s="140"/>
      <c r="AG60" s="8"/>
      <c r="AH60" s="35"/>
      <c r="AI60" s="40"/>
      <c r="AJ60" s="89" t="s">
        <v>85</v>
      </c>
      <c r="AK60" s="69" t="s">
        <v>91</v>
      </c>
      <c r="AL60" s="70" t="s">
        <v>107</v>
      </c>
      <c r="AM60" s="68">
        <v>450</v>
      </c>
    </row>
    <row r="61" spans="1:39" s="9" customFormat="1" ht="11.25" customHeight="1">
      <c r="A61" s="7"/>
      <c r="B61" s="11" t="s">
        <v>19</v>
      </c>
      <c r="C61" s="141" t="s">
        <v>26</v>
      </c>
      <c r="D61" s="131"/>
      <c r="E61" s="131"/>
      <c r="F61" s="131"/>
      <c r="G61" s="131"/>
      <c r="H61" s="131"/>
      <c r="I61" s="131"/>
      <c r="J61" s="131"/>
      <c r="K61" s="131"/>
      <c r="L61" s="131"/>
      <c r="M61" s="131"/>
      <c r="N61" s="131"/>
      <c r="O61" s="131"/>
      <c r="P61" s="131"/>
      <c r="Q61" s="131"/>
      <c r="R61" s="131"/>
      <c r="S61" s="131"/>
      <c r="T61" s="131"/>
      <c r="U61" s="131"/>
      <c r="V61" s="131"/>
      <c r="W61" s="131"/>
      <c r="X61" s="131"/>
      <c r="Y61" s="131"/>
      <c r="Z61" s="131"/>
      <c r="AA61" s="131"/>
      <c r="AB61" s="131"/>
      <c r="AC61" s="131"/>
      <c r="AD61" s="131"/>
      <c r="AE61" s="131"/>
      <c r="AF61" s="142"/>
      <c r="AG61" s="8"/>
      <c r="AH61" s="35"/>
      <c r="AI61" s="40"/>
      <c r="AJ61" s="69" t="s">
        <v>86</v>
      </c>
      <c r="AK61" s="69" t="s">
        <v>91</v>
      </c>
      <c r="AL61" s="90" t="s">
        <v>108</v>
      </c>
      <c r="AM61" s="68">
        <v>3700</v>
      </c>
    </row>
    <row r="62" spans="1:39" s="9" customFormat="1" ht="11.25" customHeight="1">
      <c r="A62" s="7"/>
      <c r="B62" s="11" t="s">
        <v>19</v>
      </c>
      <c r="C62" s="141" t="s">
        <v>27</v>
      </c>
      <c r="D62" s="131"/>
      <c r="E62" s="131"/>
      <c r="F62" s="131"/>
      <c r="G62" s="131"/>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42"/>
      <c r="AG62" s="8"/>
      <c r="AH62" s="35"/>
      <c r="AI62" s="40"/>
      <c r="AJ62" s="69" t="s">
        <v>87</v>
      </c>
      <c r="AK62" s="69" t="s">
        <v>91</v>
      </c>
      <c r="AL62" s="90" t="s">
        <v>109</v>
      </c>
      <c r="AM62" s="68">
        <v>6950</v>
      </c>
    </row>
    <row r="63" spans="1:39" s="9" customFormat="1" ht="11.25" customHeight="1">
      <c r="A63" s="7"/>
      <c r="B63" s="11" t="s">
        <v>19</v>
      </c>
      <c r="C63" s="180" t="s">
        <v>28</v>
      </c>
      <c r="D63" s="181"/>
      <c r="E63" s="181"/>
      <c r="F63" s="181"/>
      <c r="G63" s="181"/>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2"/>
      <c r="AG63" s="8"/>
      <c r="AH63" s="35"/>
      <c r="AI63" s="40"/>
      <c r="AJ63" s="89" t="s">
        <v>88</v>
      </c>
      <c r="AK63" s="69" t="s">
        <v>91</v>
      </c>
      <c r="AL63" s="70" t="s">
        <v>107</v>
      </c>
      <c r="AM63" s="68">
        <v>300</v>
      </c>
    </row>
    <row r="64" spans="1:39" s="9" customFormat="1" ht="11.25" customHeight="1">
      <c r="A64" s="7"/>
      <c r="B64" s="11" t="str">
        <f>IF(C64="","","○")</f>
        <v/>
      </c>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4"/>
      <c r="AG64" s="8"/>
      <c r="AH64" s="35"/>
      <c r="AI64" s="40"/>
      <c r="AJ64" s="89" t="s">
        <v>89</v>
      </c>
      <c r="AK64" s="69" t="s">
        <v>91</v>
      </c>
      <c r="AL64" s="90" t="s">
        <v>108</v>
      </c>
      <c r="AM64" s="68">
        <v>1430</v>
      </c>
    </row>
    <row r="65" spans="1:39" s="9" customFormat="1" ht="22.5" customHeight="1">
      <c r="A65" s="7"/>
      <c r="B65" s="88" t="str">
        <f>IF(C65="","","〇")</f>
        <v>〇</v>
      </c>
      <c r="C65" s="177" t="str">
        <f>IF(Z25=AH25,"口座振替の振替日が10日の場合、支払時期は「請求期間開始後2か月以内」になります。
また、振替日が20日で1月など月初に土日祝日が連続する場合、当月分の支払時期は「請求期間開始後2か月以内」になる場合があります。","")</f>
        <v>口座振替の振替日が10日の場合、支払時期は「請求期間開始後2か月以内」になります。
また、振替日が20日で1月など月初に土日祝日が連続する場合、当月分の支払時期は「請求期間開始後2か月以内」になる場合があります。</v>
      </c>
      <c r="D65" s="178"/>
      <c r="E65" s="178"/>
      <c r="F65" s="178"/>
      <c r="G65" s="178"/>
      <c r="H65" s="178"/>
      <c r="I65" s="178"/>
      <c r="J65" s="178"/>
      <c r="K65" s="178"/>
      <c r="L65" s="178"/>
      <c r="M65" s="178"/>
      <c r="N65" s="178"/>
      <c r="O65" s="178"/>
      <c r="P65" s="178"/>
      <c r="Q65" s="178"/>
      <c r="R65" s="178"/>
      <c r="S65" s="178"/>
      <c r="T65" s="178"/>
      <c r="U65" s="178"/>
      <c r="V65" s="178"/>
      <c r="W65" s="178"/>
      <c r="X65" s="178"/>
      <c r="Y65" s="178"/>
      <c r="Z65" s="178"/>
      <c r="AA65" s="178"/>
      <c r="AB65" s="178"/>
      <c r="AC65" s="178"/>
      <c r="AD65" s="178"/>
      <c r="AE65" s="178"/>
      <c r="AF65" s="179"/>
      <c r="AG65" s="8"/>
      <c r="AH65" s="35"/>
      <c r="AI65" s="40"/>
      <c r="AJ65" s="89" t="s">
        <v>90</v>
      </c>
      <c r="AK65" s="69" t="s">
        <v>91</v>
      </c>
      <c r="AL65" s="90" t="s">
        <v>109</v>
      </c>
      <c r="AM65" s="68">
        <v>2550</v>
      </c>
    </row>
    <row r="66" spans="1:39" s="9" customFormat="1" ht="6" customHeight="1">
      <c r="A66" s="7"/>
      <c r="AG66" s="8"/>
      <c r="AH66" s="35"/>
      <c r="AI66" s="40"/>
      <c r="AJ66" s="67"/>
      <c r="AK66" s="67"/>
      <c r="AL66" s="67"/>
      <c r="AM66" s="67"/>
    </row>
    <row r="67" spans="1:39" ht="13.5" customHeight="1">
      <c r="A67" s="5"/>
      <c r="B67" s="25" t="s">
        <v>20</v>
      </c>
      <c r="AG67" s="6"/>
      <c r="AH67" s="34"/>
      <c r="AI67" s="28"/>
      <c r="AJ67" s="67"/>
      <c r="AK67" s="67"/>
      <c r="AL67" s="67"/>
      <c r="AM67" s="67"/>
    </row>
    <row r="68" spans="1:39" ht="13.5" customHeight="1">
      <c r="A68" s="5"/>
      <c r="B68" s="116" t="s">
        <v>21</v>
      </c>
      <c r="C68" s="117"/>
      <c r="D68" s="117"/>
      <c r="E68" s="114"/>
      <c r="F68" s="115"/>
      <c r="G68" s="115"/>
      <c r="H68" s="115"/>
      <c r="I68" s="115"/>
      <c r="J68" s="115"/>
      <c r="K68" s="115"/>
      <c r="L68" s="115"/>
      <c r="M68" s="115"/>
      <c r="N68" s="115"/>
      <c r="O68" s="115"/>
      <c r="P68" s="115"/>
      <c r="Q68" s="115"/>
      <c r="R68" s="116" t="s">
        <v>38</v>
      </c>
      <c r="S68" s="117"/>
      <c r="T68" s="117"/>
      <c r="U68" s="114"/>
      <c r="V68" s="115"/>
      <c r="W68" s="115"/>
      <c r="X68" s="115"/>
      <c r="Y68" s="115"/>
      <c r="Z68" s="116" t="s">
        <v>49</v>
      </c>
      <c r="AA68" s="117"/>
      <c r="AB68" s="117"/>
      <c r="AC68" s="114"/>
      <c r="AD68" s="115"/>
      <c r="AE68" s="115"/>
      <c r="AF68" s="115"/>
      <c r="AG68" s="6"/>
      <c r="AH68" s="34"/>
      <c r="AI68" s="28"/>
      <c r="AJ68" s="67"/>
      <c r="AK68" s="67"/>
      <c r="AL68" s="67"/>
      <c r="AM68" s="67"/>
    </row>
    <row r="69" spans="1:39" ht="6" customHeight="1">
      <c r="A69" s="5"/>
      <c r="B69" s="19"/>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6"/>
      <c r="AH69" s="34"/>
      <c r="AI69" s="28"/>
      <c r="AJ69" s="67"/>
      <c r="AK69" s="67"/>
      <c r="AL69" s="67"/>
      <c r="AM69" s="67"/>
    </row>
    <row r="70" spans="1:39" ht="13.5" customHeight="1">
      <c r="A70" s="5"/>
      <c r="B70" s="130" t="s">
        <v>22</v>
      </c>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6"/>
      <c r="AH70" s="34"/>
      <c r="AI70" s="28"/>
      <c r="AJ70" s="67"/>
      <c r="AK70" s="67"/>
      <c r="AL70" s="67"/>
      <c r="AM70" s="67"/>
    </row>
    <row r="71" spans="1:39" ht="13.5" customHeight="1">
      <c r="A71" s="5"/>
      <c r="B71" s="130" t="s">
        <v>23</v>
      </c>
      <c r="C71" s="132"/>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6"/>
      <c r="AH71" s="34"/>
      <c r="AI71" s="28"/>
      <c r="AJ71" s="67"/>
      <c r="AK71" s="67"/>
      <c r="AL71" s="67"/>
      <c r="AM71" s="67"/>
    </row>
    <row r="72" spans="1:39" ht="13.5" customHeight="1">
      <c r="A72" s="5"/>
      <c r="B72" s="19"/>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6"/>
      <c r="AH72" s="34"/>
      <c r="AI72" s="28"/>
      <c r="AJ72" s="67"/>
      <c r="AK72" s="67"/>
      <c r="AL72" s="67"/>
      <c r="AM72" s="67"/>
    </row>
    <row r="73" spans="1:39" ht="11.25" customHeight="1">
      <c r="A73" s="5"/>
      <c r="B73" s="133" t="s">
        <v>24</v>
      </c>
      <c r="C73" s="134"/>
      <c r="D73" s="134"/>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F73" s="31" t="str">
        <f>IF(AND(S3&lt;&gt;"",U3&lt;&gt;""),CONCATENATE(S3,T3,U3),"")</f>
        <v/>
      </c>
      <c r="AG73" s="6"/>
      <c r="AH73" s="34"/>
      <c r="AI73" s="28"/>
      <c r="AJ73" s="67"/>
      <c r="AK73" s="67"/>
      <c r="AL73" s="67"/>
      <c r="AM73" s="67"/>
    </row>
    <row r="74" spans="1:39" ht="13.5" customHeight="1">
      <c r="A74" s="5"/>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34"/>
      <c r="AI74" s="28"/>
      <c r="AJ74" s="67"/>
      <c r="AK74" s="67"/>
      <c r="AL74" s="67"/>
      <c r="AM74" s="67"/>
    </row>
    <row r="75" spans="1:39" ht="13.5" hidden="1" customHeight="1">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33"/>
    </row>
    <row r="76" spans="1:39" ht="13.5" hidden="1" customHeight="1">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33"/>
    </row>
    <row r="77" spans="1:39" ht="13.5" hidden="1" customHeight="1">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33"/>
    </row>
    <row r="78" spans="1:39" ht="13.5" hidden="1" customHeight="1">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33"/>
    </row>
    <row r="79" spans="1:39" ht="13.5" hidden="1" customHeight="1">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33"/>
    </row>
    <row r="80" spans="1:39" ht="13.5" hidden="1" customHeight="1">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33"/>
    </row>
    <row r="81" spans="2:34" ht="13.5" hidden="1" customHeight="1">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33"/>
    </row>
    <row r="82" spans="2:34" ht="13.5" hidden="1" customHeight="1">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33"/>
    </row>
    <row r="83" spans="2:34" ht="13.5" hidden="1" customHeight="1">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33"/>
    </row>
  </sheetData>
  <sheetProtection algorithmName="SHA-512" hashValue="o5q3RGxchWbyotz1BO20VanwOMswzckoHywGqeaUvh64nnvvVkADfdn5tKdZv/oVyQWlTPJQIMezoeyW4KlMJg==" saltValue="rqHWim0E8hNTy7Rqa1pYng==" spinCount="100000" sheet="1" objects="1" scenarios="1"/>
  <mergeCells count="168">
    <mergeCell ref="C65:AF65"/>
    <mergeCell ref="C63:AF64"/>
    <mergeCell ref="B9:AF10"/>
    <mergeCell ref="B5:AF6"/>
    <mergeCell ref="AC7:AF7"/>
    <mergeCell ref="AC8:AF8"/>
    <mergeCell ref="X7:AA7"/>
    <mergeCell ref="X8:AA8"/>
    <mergeCell ref="H25:Q25"/>
    <mergeCell ref="H26:Q26"/>
    <mergeCell ref="V33:Y33"/>
    <mergeCell ref="B20:Q20"/>
    <mergeCell ref="R20:AF20"/>
    <mergeCell ref="B21:Q21"/>
    <mergeCell ref="R21:AF21"/>
    <mergeCell ref="AC26:AF26"/>
    <mergeCell ref="R26:Y26"/>
    <mergeCell ref="R23:AF23"/>
    <mergeCell ref="B23:Q24"/>
    <mergeCell ref="R24:Y24"/>
    <mergeCell ref="Z24:AF24"/>
    <mergeCell ref="Z33:AA33"/>
    <mergeCell ref="B25:G25"/>
    <mergeCell ref="B26:G26"/>
    <mergeCell ref="R25:Y25"/>
    <mergeCell ref="Z25:AF25"/>
    <mergeCell ref="Z26:AB26"/>
    <mergeCell ref="AB33:AF33"/>
    <mergeCell ref="B27:AF27"/>
    <mergeCell ref="B28:AF28"/>
    <mergeCell ref="B29:AF29"/>
    <mergeCell ref="B31:G31"/>
    <mergeCell ref="V32:Y32"/>
    <mergeCell ref="Z32:AA32"/>
    <mergeCell ref="AB32:AF32"/>
    <mergeCell ref="B32:G32"/>
    <mergeCell ref="H32:U32"/>
    <mergeCell ref="B33:U33"/>
    <mergeCell ref="V41:Y41"/>
    <mergeCell ref="AB36:AF36"/>
    <mergeCell ref="V35:Y35"/>
    <mergeCell ref="Z35:AA35"/>
    <mergeCell ref="AB35:AF35"/>
    <mergeCell ref="V34:Y34"/>
    <mergeCell ref="Z34:AA34"/>
    <mergeCell ref="AB34:AF34"/>
    <mergeCell ref="B34:U34"/>
    <mergeCell ref="B35:U35"/>
    <mergeCell ref="V38:Y38"/>
    <mergeCell ref="Z38:AA38"/>
    <mergeCell ref="AB38:AF38"/>
    <mergeCell ref="H40:O40"/>
    <mergeCell ref="P40:U40"/>
    <mergeCell ref="V40:Y40"/>
    <mergeCell ref="Z40:AA40"/>
    <mergeCell ref="AB40:AF40"/>
    <mergeCell ref="H39:O39"/>
    <mergeCell ref="P39:U39"/>
    <mergeCell ref="V39:Y39"/>
    <mergeCell ref="Z39:AA39"/>
    <mergeCell ref="AB39:AF39"/>
    <mergeCell ref="Z41:AA41"/>
    <mergeCell ref="AB41:AF41"/>
    <mergeCell ref="H46:O46"/>
    <mergeCell ref="P46:U46"/>
    <mergeCell ref="V46:Y46"/>
    <mergeCell ref="Z46:AA46"/>
    <mergeCell ref="AB46:AF46"/>
    <mergeCell ref="H45:O45"/>
    <mergeCell ref="P45:U45"/>
    <mergeCell ref="V45:Y45"/>
    <mergeCell ref="Z45:AA45"/>
    <mergeCell ref="AB45:AF45"/>
    <mergeCell ref="H44:O44"/>
    <mergeCell ref="P44:U44"/>
    <mergeCell ref="V44:Y44"/>
    <mergeCell ref="Z44:AA44"/>
    <mergeCell ref="AB44:AF44"/>
    <mergeCell ref="H42:O42"/>
    <mergeCell ref="V43:Y43"/>
    <mergeCell ref="Z43:AA43"/>
    <mergeCell ref="P42:U42"/>
    <mergeCell ref="V42:Y42"/>
    <mergeCell ref="AB49:AF49"/>
    <mergeCell ref="H48:O48"/>
    <mergeCell ref="P48:U48"/>
    <mergeCell ref="V48:Y48"/>
    <mergeCell ref="Z48:AA48"/>
    <mergeCell ref="AB48:AF48"/>
    <mergeCell ref="B47:G47"/>
    <mergeCell ref="H47:O47"/>
    <mergeCell ref="P47:U47"/>
    <mergeCell ref="V47:Y47"/>
    <mergeCell ref="Z47:AA47"/>
    <mergeCell ref="AB47:AF47"/>
    <mergeCell ref="Z49:AA49"/>
    <mergeCell ref="B70:AF70"/>
    <mergeCell ref="B71:AF71"/>
    <mergeCell ref="B73:D73"/>
    <mergeCell ref="B36:AA36"/>
    <mergeCell ref="B54:AA54"/>
    <mergeCell ref="C60:AF60"/>
    <mergeCell ref="C61:AF61"/>
    <mergeCell ref="C62:AF62"/>
    <mergeCell ref="H56:AF57"/>
    <mergeCell ref="B56:G57"/>
    <mergeCell ref="B59:G59"/>
    <mergeCell ref="AB54:AF54"/>
    <mergeCell ref="H53:O53"/>
    <mergeCell ref="P53:U53"/>
    <mergeCell ref="V53:Y53"/>
    <mergeCell ref="Z53:AA53"/>
    <mergeCell ref="AB53:AF53"/>
    <mergeCell ref="H52:O52"/>
    <mergeCell ref="P52:U52"/>
    <mergeCell ref="V52:Y52"/>
    <mergeCell ref="B53:G53"/>
    <mergeCell ref="B68:D68"/>
    <mergeCell ref="AC68:AF68"/>
    <mergeCell ref="Z68:AB68"/>
    <mergeCell ref="U68:Y68"/>
    <mergeCell ref="R68:T68"/>
    <mergeCell ref="E68:Q68"/>
    <mergeCell ref="B38:G38"/>
    <mergeCell ref="H38:U38"/>
    <mergeCell ref="B40:G40"/>
    <mergeCell ref="B41:G41"/>
    <mergeCell ref="B42:G42"/>
    <mergeCell ref="B44:G44"/>
    <mergeCell ref="B45:G45"/>
    <mergeCell ref="B46:G46"/>
    <mergeCell ref="B43:G43"/>
    <mergeCell ref="H43:O43"/>
    <mergeCell ref="P43:U43"/>
    <mergeCell ref="B48:G48"/>
    <mergeCell ref="B49:G49"/>
    <mergeCell ref="B50:G50"/>
    <mergeCell ref="B51:G51"/>
    <mergeCell ref="B52:G52"/>
    <mergeCell ref="P49:U49"/>
    <mergeCell ref="V49:Y49"/>
    <mergeCell ref="B39:G39"/>
    <mergeCell ref="H41:O41"/>
    <mergeCell ref="P41:U41"/>
    <mergeCell ref="Z52:AA52"/>
    <mergeCell ref="AB52:AF52"/>
    <mergeCell ref="H51:O51"/>
    <mergeCell ref="P51:U51"/>
    <mergeCell ref="V51:Y51"/>
    <mergeCell ref="Z51:AA51"/>
    <mergeCell ref="Z42:AA42"/>
    <mergeCell ref="AB42:AF42"/>
    <mergeCell ref="P3:R3"/>
    <mergeCell ref="U3:V3"/>
    <mergeCell ref="AA3:AG3"/>
    <mergeCell ref="AB43:AF43"/>
    <mergeCell ref="V16:W16"/>
    <mergeCell ref="V17:W17"/>
    <mergeCell ref="Z14:AA15"/>
    <mergeCell ref="AD14:AE15"/>
    <mergeCell ref="Y11:AE12"/>
    <mergeCell ref="AB51:AF51"/>
    <mergeCell ref="H50:O50"/>
    <mergeCell ref="P50:U50"/>
    <mergeCell ref="V50:Y50"/>
    <mergeCell ref="Z50:AA50"/>
    <mergeCell ref="AB50:AF50"/>
    <mergeCell ref="H49:O49"/>
  </mergeCells>
  <phoneticPr fontId="2"/>
  <dataValidations count="9">
    <dataValidation type="list" allowBlank="1" showInputMessage="1" showErrorMessage="1" sqref="Y11">
      <formula1>$AH$12:$AH$21</formula1>
    </dataValidation>
    <dataValidation type="list" allowBlank="1" showInputMessage="1" showErrorMessage="1" sqref="Z25:AF25">
      <formula1>$AH$25:$AH$26</formula1>
    </dataValidation>
    <dataValidation type="custom" allowBlank="1" showInputMessage="1" showErrorMessage="1" errorTitle="登録できません。" error="修正する場合は、決裁取得のうえ、上記の「料金調整あり」にチェックをして、決裁番号を登録してください。" sqref="P40:Y46 B40:G46 V33:Y35 P48:Y53 B48:G53">
      <formula1>$AH$3=2</formula1>
    </dataValidation>
    <dataValidation type="custom" allowBlank="1" showInputMessage="1" showErrorMessage="1" errorTitle="登録できません。" error="登録する場合は、「料金調整あり」にチェックをしてください。" sqref="S3 AH3">
      <formula1>$AH$3=2</formula1>
    </dataValidation>
    <dataValidation type="custom" allowBlank="1" showInputMessage="1" showErrorMessage="1" errorTitle="登録できません。" error="登録する場合は、「料金調整あり」にチェックをしてください。" sqref="U3:V3">
      <formula1>AH3=2</formula1>
    </dataValidation>
    <dataValidation type="list" allowBlank="1" showInputMessage="1" showErrorMessage="1" sqref="H46:O46">
      <formula1>$AJ$39:$AJ$45</formula1>
    </dataValidation>
    <dataValidation type="list" allowBlank="1" showInputMessage="1" showErrorMessage="1" sqref="H53:O53">
      <formula1>$AJ$48:$AJ$65</formula1>
    </dataValidation>
    <dataValidation type="list" allowBlank="1" showInputMessage="1" showErrorMessage="1" sqref="H40:O40 H41:O41 H42:O42 H43:O43 H44:O44 H45:O45">
      <formula1>$AJ$39:$AJ$45</formula1>
    </dataValidation>
    <dataValidation type="list" allowBlank="1" showInputMessage="1" showErrorMessage="1" sqref="H48:O48 H49:O49 H50:O50 H51:O51 H52:O52">
      <formula1>$AJ$48:$AJ$65</formula1>
    </dataValidation>
  </dataValidations>
  <printOptions horizontalCentered="1" verticalCentered="1"/>
  <pageMargins left="0.70866141732283472" right="0.31496062992125984" top="0.35433070866141736" bottom="0.15748031496062992"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Option Button 5">
              <controlPr defaultSize="0" autoFill="0" autoLine="0" autoPict="0">
                <anchor moveWithCells="1">
                  <from>
                    <xdr:col>1</xdr:col>
                    <xdr:colOff>85725</xdr:colOff>
                    <xdr:row>2</xdr:row>
                    <xdr:rowOff>47625</xdr:rowOff>
                  </from>
                  <to>
                    <xdr:col>5</xdr:col>
                    <xdr:colOff>171450</xdr:colOff>
                    <xdr:row>2</xdr:row>
                    <xdr:rowOff>247650</xdr:rowOff>
                  </to>
                </anchor>
              </controlPr>
            </control>
          </mc:Choice>
        </mc:AlternateContent>
        <mc:AlternateContent xmlns:mc="http://schemas.openxmlformats.org/markup-compatibility/2006">
          <mc:Choice Requires="x14">
            <control shapeId="5127" r:id="rId5" name="Option Button 7">
              <controlPr defaultSize="0" autoFill="0" autoLine="0" autoPict="0">
                <anchor moveWithCells="1">
                  <from>
                    <xdr:col>5</xdr:col>
                    <xdr:colOff>152400</xdr:colOff>
                    <xdr:row>2</xdr:row>
                    <xdr:rowOff>47625</xdr:rowOff>
                  </from>
                  <to>
                    <xdr:col>13</xdr:col>
                    <xdr:colOff>152400</xdr:colOff>
                    <xdr:row>2</xdr:row>
                    <xdr:rowOff>247650</xdr:rowOff>
                  </to>
                </anchor>
              </controlPr>
            </control>
          </mc:Choice>
        </mc:AlternateContent>
        <mc:AlternateContent xmlns:mc="http://schemas.openxmlformats.org/markup-compatibility/2006">
          <mc:Choice Requires="x14">
            <control shapeId="5128" r:id="rId6" name="Group Box 8">
              <controlPr defaultSize="0" autoFill="0" autoPict="0">
                <anchor moveWithCells="1">
                  <from>
                    <xdr:col>1</xdr:col>
                    <xdr:colOff>0</xdr:colOff>
                    <xdr:row>1</xdr:row>
                    <xdr:rowOff>161925</xdr:rowOff>
                  </from>
                  <to>
                    <xdr:col>13</xdr:col>
                    <xdr:colOff>219075</xdr:colOff>
                    <xdr:row>3</xdr:row>
                    <xdr:rowOff>0</xdr:rowOff>
                  </to>
                </anchor>
              </controlPr>
            </control>
          </mc:Choice>
        </mc:AlternateContent>
        <mc:AlternateContent xmlns:mc="http://schemas.openxmlformats.org/markup-compatibility/2006">
          <mc:Choice Requires="x14">
            <control shapeId="5129" r:id="rId7" name="Button 9">
              <controlPr defaultSize="0" print="0" autoFill="0" autoPict="0" macro="[0]!ボタン9_Click">
                <anchor moveWithCells="1" sizeWithCells="1">
                  <from>
                    <xdr:col>22</xdr:col>
                    <xdr:colOff>85725</xdr:colOff>
                    <xdr:row>2</xdr:row>
                    <xdr:rowOff>9525</xdr:rowOff>
                  </from>
                  <to>
                    <xdr:col>24</xdr:col>
                    <xdr:colOff>200025</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L115"/>
  <sheetViews>
    <sheetView showGridLines="0" showRowColHeaders="0" zoomScaleNormal="100" workbookViewId="0">
      <selection activeCell="I58" sqref="I58:K58"/>
    </sheetView>
  </sheetViews>
  <sheetFormatPr defaultColWidth="0" defaultRowHeight="13.5" customHeight="1" zeroHeight="1"/>
  <cols>
    <col min="1" max="32" width="3" style="1" customWidth="1"/>
    <col min="33" max="33" width="3" style="5" customWidth="1"/>
    <col min="34" max="35" width="3" style="28" customWidth="1"/>
    <col min="36" max="36" width="7.375" style="1" hidden="1" customWidth="1"/>
    <col min="37" max="37" width="15.125" style="1" hidden="1" customWidth="1"/>
    <col min="38" max="38" width="8.5" style="1" hidden="1" customWidth="1"/>
    <col min="39" max="16384" width="3" style="1" hidden="1"/>
  </cols>
  <sheetData>
    <row r="1" spans="1:35" ht="25.5" customHeight="1">
      <c r="A1" s="5"/>
      <c r="B1" s="36" t="s">
        <v>110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row>
    <row r="2" spans="1:35" ht="13.5" customHeight="1">
      <c r="A2" s="5"/>
      <c r="B2" s="55" t="s">
        <v>111</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row>
    <row r="3" spans="1:35" ht="9.75"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row>
    <row r="4" spans="1:35" ht="9.9499999999999993" customHeight="1">
      <c r="A4" s="5"/>
      <c r="B4" s="187" t="s">
        <v>112</v>
      </c>
      <c r="C4" s="188"/>
      <c r="D4" s="188"/>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6"/>
      <c r="AH4" s="34"/>
    </row>
    <row r="5" spans="1:35" ht="9.9499999999999993" customHeight="1">
      <c r="A5" s="5"/>
      <c r="B5" s="188"/>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6"/>
      <c r="AH5" s="34"/>
    </row>
    <row r="6" spans="1:35" ht="9.9499999999999993" customHeight="1">
      <c r="A6" s="5"/>
      <c r="B6" s="257" t="str">
        <f>CONCATENATE(見積書!Y11,"　御中")</f>
        <v>セコム株式会社　御中</v>
      </c>
      <c r="C6" s="257"/>
      <c r="D6" s="257"/>
      <c r="E6" s="257"/>
      <c r="F6" s="257"/>
      <c r="G6" s="257"/>
      <c r="H6" s="257"/>
      <c r="I6" s="257"/>
      <c r="J6" s="257"/>
      <c r="K6" s="257"/>
      <c r="L6" s="257"/>
      <c r="M6" s="257"/>
      <c r="N6" s="257"/>
      <c r="O6" s="257"/>
      <c r="P6" s="257"/>
      <c r="Q6" s="257"/>
      <c r="R6" s="18"/>
      <c r="S6" s="18"/>
      <c r="T6" s="2"/>
      <c r="U6" s="2"/>
      <c r="V6" s="2"/>
      <c r="W6" s="2"/>
      <c r="X6" s="2"/>
      <c r="Y6" s="2"/>
      <c r="Z6" s="2"/>
      <c r="AA6" s="2"/>
      <c r="AB6" s="2"/>
      <c r="AC6" s="2"/>
      <c r="AD6" s="2"/>
      <c r="AE6" s="2"/>
      <c r="AF6" s="2"/>
      <c r="AG6" s="6"/>
      <c r="AH6" s="6"/>
      <c r="AI6" s="5"/>
    </row>
    <row r="7" spans="1:35" ht="12" customHeight="1">
      <c r="A7" s="5"/>
      <c r="B7" s="258"/>
      <c r="C7" s="258"/>
      <c r="D7" s="258"/>
      <c r="E7" s="258"/>
      <c r="F7" s="258"/>
      <c r="G7" s="258"/>
      <c r="H7" s="258"/>
      <c r="I7" s="258"/>
      <c r="J7" s="258"/>
      <c r="K7" s="258"/>
      <c r="L7" s="258"/>
      <c r="M7" s="258"/>
      <c r="N7" s="258"/>
      <c r="O7" s="258"/>
      <c r="P7" s="258"/>
      <c r="Q7" s="258"/>
      <c r="R7" s="18"/>
      <c r="S7" s="18"/>
      <c r="T7" s="2"/>
      <c r="U7" s="2"/>
      <c r="V7" s="2"/>
      <c r="W7" s="215" t="s">
        <v>129</v>
      </c>
      <c r="X7" s="216"/>
      <c r="Y7" s="217"/>
      <c r="Z7" s="259"/>
      <c r="AA7" s="122"/>
      <c r="AB7" s="56" t="s">
        <v>126</v>
      </c>
      <c r="AC7" s="56"/>
      <c r="AD7" s="56" t="s">
        <v>127</v>
      </c>
      <c r="AE7" s="56"/>
      <c r="AF7" s="57" t="s">
        <v>128</v>
      </c>
      <c r="AG7" s="6"/>
      <c r="AH7" s="6"/>
      <c r="AI7" s="5"/>
    </row>
    <row r="8" spans="1:35" ht="13.5" customHeight="1">
      <c r="A8" s="5"/>
      <c r="B8" s="260" t="s">
        <v>113</v>
      </c>
      <c r="C8" s="199"/>
      <c r="D8" s="195" t="s">
        <v>119</v>
      </c>
      <c r="E8" s="195"/>
      <c r="F8" s="199"/>
      <c r="G8" s="15" t="s">
        <v>122</v>
      </c>
      <c r="H8" s="44"/>
      <c r="I8" s="16" t="s">
        <v>124</v>
      </c>
      <c r="J8" s="262"/>
      <c r="K8" s="262"/>
      <c r="L8" s="262" t="s">
        <v>123</v>
      </c>
      <c r="M8" s="262"/>
      <c r="N8" s="210"/>
      <c r="O8" s="119"/>
      <c r="P8" s="119"/>
      <c r="Q8" s="119"/>
      <c r="R8" s="119"/>
      <c r="S8" s="119"/>
      <c r="T8" s="119"/>
      <c r="U8" s="119"/>
      <c r="V8" s="119"/>
      <c r="W8" s="119"/>
      <c r="X8" s="119"/>
      <c r="Y8" s="119"/>
      <c r="Z8" s="119"/>
      <c r="AA8" s="119"/>
      <c r="AB8" s="119"/>
      <c r="AC8" s="119"/>
      <c r="AD8" s="119"/>
      <c r="AE8" s="119"/>
      <c r="AF8" s="120"/>
      <c r="AG8" s="6"/>
      <c r="AH8" s="6"/>
      <c r="AI8" s="5"/>
    </row>
    <row r="9" spans="1:35" ht="13.5" customHeight="1">
      <c r="A9" s="5"/>
      <c r="B9" s="261"/>
      <c r="C9" s="199"/>
      <c r="D9" s="212"/>
      <c r="E9" s="212"/>
      <c r="F9" s="199"/>
      <c r="G9" s="202"/>
      <c r="H9" s="109"/>
      <c r="I9" s="109"/>
      <c r="J9" s="109"/>
      <c r="K9" s="109"/>
      <c r="L9" s="109"/>
      <c r="M9" s="109"/>
      <c r="N9" s="109"/>
      <c r="O9" s="109"/>
      <c r="P9" s="109"/>
      <c r="Q9" s="109"/>
      <c r="R9" s="109"/>
      <c r="S9" s="109"/>
      <c r="T9" s="109"/>
      <c r="U9" s="109"/>
      <c r="V9" s="109"/>
      <c r="W9" s="109"/>
      <c r="X9" s="109"/>
      <c r="Y9" s="109"/>
      <c r="Z9" s="109"/>
      <c r="AA9" s="109"/>
      <c r="AB9" s="109"/>
      <c r="AC9" s="109"/>
      <c r="AD9" s="109"/>
      <c r="AE9" s="109"/>
      <c r="AF9" s="211"/>
      <c r="AG9" s="6"/>
      <c r="AH9" s="6"/>
      <c r="AI9" s="5"/>
    </row>
    <row r="10" spans="1:35" ht="11.25">
      <c r="A10" s="5"/>
      <c r="B10" s="261"/>
      <c r="C10" s="199"/>
      <c r="D10" s="212"/>
      <c r="E10" s="212"/>
      <c r="F10" s="199"/>
      <c r="G10" s="206"/>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8"/>
      <c r="AG10" s="6"/>
      <c r="AH10" s="6"/>
      <c r="AI10" s="5"/>
    </row>
    <row r="11" spans="1:35">
      <c r="A11" s="5"/>
      <c r="B11" s="261"/>
      <c r="C11" s="199"/>
      <c r="D11" s="195" t="s">
        <v>120</v>
      </c>
      <c r="E11" s="195"/>
      <c r="F11" s="199"/>
      <c r="G11" s="213" t="s">
        <v>123</v>
      </c>
      <c r="H11" s="214"/>
      <c r="I11" s="41"/>
      <c r="J11" s="119"/>
      <c r="K11" s="119"/>
      <c r="L11" s="119"/>
      <c r="M11" s="119"/>
      <c r="N11" s="119"/>
      <c r="O11" s="119"/>
      <c r="P11" s="119"/>
      <c r="Q11" s="119"/>
      <c r="R11" s="119"/>
      <c r="S11" s="119"/>
      <c r="T11" s="119"/>
      <c r="U11" s="119"/>
      <c r="V11" s="119"/>
      <c r="W11" s="119"/>
      <c r="X11" s="119"/>
      <c r="Y11" s="119"/>
      <c r="Z11" s="119"/>
      <c r="AA11" s="119"/>
      <c r="AB11" s="120"/>
      <c r="AC11" s="195" t="s">
        <v>130</v>
      </c>
      <c r="AD11" s="195"/>
      <c r="AE11" s="195"/>
      <c r="AF11" s="195"/>
      <c r="AG11" s="6"/>
      <c r="AH11" s="6"/>
      <c r="AI11" s="5"/>
    </row>
    <row r="12" spans="1:35" ht="11.25">
      <c r="A12" s="5"/>
      <c r="B12" s="261"/>
      <c r="C12" s="199"/>
      <c r="D12" s="212"/>
      <c r="E12" s="212"/>
      <c r="F12" s="199"/>
      <c r="G12" s="202"/>
      <c r="H12" s="203"/>
      <c r="I12" s="204"/>
      <c r="J12" s="204"/>
      <c r="K12" s="204"/>
      <c r="L12" s="204"/>
      <c r="M12" s="204"/>
      <c r="N12" s="204"/>
      <c r="O12" s="204"/>
      <c r="P12" s="204"/>
      <c r="Q12" s="204"/>
      <c r="R12" s="204"/>
      <c r="S12" s="204"/>
      <c r="T12" s="204"/>
      <c r="U12" s="204"/>
      <c r="V12" s="204"/>
      <c r="W12" s="204"/>
      <c r="X12" s="204"/>
      <c r="Y12" s="204"/>
      <c r="Z12" s="204"/>
      <c r="AA12" s="204"/>
      <c r="AB12" s="205"/>
      <c r="AC12" s="218" t="s">
        <v>131</v>
      </c>
      <c r="AD12" s="219"/>
      <c r="AE12" s="219"/>
      <c r="AF12" s="219"/>
      <c r="AG12" s="6"/>
      <c r="AH12" s="6"/>
      <c r="AI12" s="5"/>
    </row>
    <row r="13" spans="1:35" ht="13.5" customHeight="1">
      <c r="A13" s="5"/>
      <c r="B13" s="261"/>
      <c r="C13" s="199"/>
      <c r="D13" s="212"/>
      <c r="E13" s="212"/>
      <c r="F13" s="199"/>
      <c r="G13" s="206"/>
      <c r="H13" s="207"/>
      <c r="I13" s="207"/>
      <c r="J13" s="207"/>
      <c r="K13" s="207"/>
      <c r="L13" s="207"/>
      <c r="M13" s="207"/>
      <c r="N13" s="207"/>
      <c r="O13" s="207"/>
      <c r="P13" s="207"/>
      <c r="Q13" s="207"/>
      <c r="R13" s="207"/>
      <c r="S13" s="207"/>
      <c r="T13" s="207"/>
      <c r="U13" s="207"/>
      <c r="V13" s="207"/>
      <c r="W13" s="207"/>
      <c r="X13" s="207"/>
      <c r="Y13" s="207"/>
      <c r="Z13" s="207"/>
      <c r="AA13" s="207"/>
      <c r="AB13" s="208"/>
      <c r="AC13" s="219"/>
      <c r="AD13" s="219"/>
      <c r="AE13" s="219"/>
      <c r="AF13" s="219"/>
      <c r="AG13" s="6"/>
      <c r="AH13" s="6"/>
      <c r="AI13" s="5"/>
    </row>
    <row r="14" spans="1:35" ht="12" customHeight="1">
      <c r="A14" s="5"/>
      <c r="B14" s="261"/>
      <c r="C14" s="199"/>
      <c r="D14" s="195" t="s">
        <v>121</v>
      </c>
      <c r="E14" s="195"/>
      <c r="F14" s="199"/>
      <c r="G14" s="199"/>
      <c r="H14" s="199"/>
      <c r="I14" s="220"/>
      <c r="J14" s="204"/>
      <c r="K14" s="204"/>
      <c r="L14" s="204"/>
      <c r="M14" s="204"/>
      <c r="N14" s="204"/>
      <c r="O14" s="204"/>
      <c r="P14" s="204"/>
      <c r="Q14" s="204"/>
      <c r="R14" s="204"/>
      <c r="S14" s="204"/>
      <c r="T14" s="204"/>
      <c r="U14" s="204"/>
      <c r="V14" s="204"/>
      <c r="W14" s="204"/>
      <c r="X14" s="204"/>
      <c r="Y14" s="204"/>
      <c r="Z14" s="204"/>
      <c r="AA14" s="204"/>
      <c r="AB14" s="205"/>
      <c r="AC14" s="219"/>
      <c r="AD14" s="219"/>
      <c r="AE14" s="219"/>
      <c r="AF14" s="219"/>
      <c r="AG14" s="6"/>
      <c r="AH14" s="6"/>
      <c r="AI14" s="5"/>
    </row>
    <row r="15" spans="1:35" ht="12" customHeight="1">
      <c r="A15" s="5"/>
      <c r="B15" s="261"/>
      <c r="C15" s="199"/>
      <c r="D15" s="195"/>
      <c r="E15" s="195"/>
      <c r="F15" s="199"/>
      <c r="G15" s="199"/>
      <c r="H15" s="199"/>
      <c r="I15" s="221"/>
      <c r="J15" s="109"/>
      <c r="K15" s="109"/>
      <c r="L15" s="109"/>
      <c r="M15" s="109"/>
      <c r="N15" s="109"/>
      <c r="O15" s="109"/>
      <c r="P15" s="109"/>
      <c r="Q15" s="109"/>
      <c r="R15" s="109"/>
      <c r="S15" s="109"/>
      <c r="T15" s="109"/>
      <c r="U15" s="109"/>
      <c r="V15" s="109"/>
      <c r="W15" s="109"/>
      <c r="X15" s="109"/>
      <c r="Y15" s="109"/>
      <c r="Z15" s="109"/>
      <c r="AA15" s="109"/>
      <c r="AB15" s="211"/>
      <c r="AC15" s="219"/>
      <c r="AD15" s="219"/>
      <c r="AE15" s="219"/>
      <c r="AF15" s="219"/>
      <c r="AG15" s="6"/>
      <c r="AH15" s="6"/>
      <c r="AI15" s="5"/>
    </row>
    <row r="16" spans="1:35" ht="12" customHeight="1">
      <c r="A16" s="5"/>
      <c r="B16" s="261"/>
      <c r="C16" s="199"/>
      <c r="D16" s="212"/>
      <c r="E16" s="212"/>
      <c r="F16" s="199"/>
      <c r="G16" s="199"/>
      <c r="H16" s="199"/>
      <c r="I16" s="206"/>
      <c r="J16" s="207"/>
      <c r="K16" s="207"/>
      <c r="L16" s="207"/>
      <c r="M16" s="207"/>
      <c r="N16" s="207"/>
      <c r="O16" s="207"/>
      <c r="P16" s="207"/>
      <c r="Q16" s="207"/>
      <c r="R16" s="207"/>
      <c r="S16" s="207"/>
      <c r="T16" s="207"/>
      <c r="U16" s="207"/>
      <c r="V16" s="207"/>
      <c r="W16" s="207"/>
      <c r="X16" s="207"/>
      <c r="Y16" s="207"/>
      <c r="Z16" s="207"/>
      <c r="AA16" s="207"/>
      <c r="AB16" s="208"/>
      <c r="AC16" s="219"/>
      <c r="AD16" s="219"/>
      <c r="AE16" s="219"/>
      <c r="AF16" s="219"/>
      <c r="AG16" s="6"/>
      <c r="AH16" s="6"/>
      <c r="AI16" s="5"/>
    </row>
    <row r="17" spans="1:35" ht="13.5" customHeight="1">
      <c r="A17" s="5"/>
      <c r="B17" s="2"/>
      <c r="C17" s="2"/>
      <c r="D17" s="2"/>
      <c r="E17" s="2"/>
      <c r="F17" s="2"/>
      <c r="G17" s="2"/>
      <c r="I17" s="209" t="s">
        <v>125</v>
      </c>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6"/>
      <c r="AH17" s="6"/>
      <c r="AI17" s="5"/>
    </row>
    <row r="18" spans="1:35" ht="13.5" customHeight="1">
      <c r="A18" s="5"/>
      <c r="B18" s="2"/>
      <c r="C18" s="2"/>
      <c r="D18" s="2"/>
      <c r="E18" s="2"/>
      <c r="F18" s="2"/>
      <c r="G18" s="2"/>
      <c r="H18" s="14"/>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6"/>
      <c r="AH18" s="6"/>
      <c r="AI18" s="5"/>
    </row>
    <row r="19" spans="1:35" ht="6" customHeight="1">
      <c r="A19" s="5"/>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6"/>
      <c r="AH19" s="6"/>
      <c r="AI19" s="5"/>
    </row>
    <row r="20" spans="1:35" ht="13.5" customHeight="1">
      <c r="A20" s="5"/>
      <c r="B20" s="2" t="s">
        <v>114</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6"/>
      <c r="AH20" s="6"/>
      <c r="AI20" s="5"/>
    </row>
    <row r="21" spans="1:35" ht="6" customHeight="1">
      <c r="A21" s="5"/>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6"/>
      <c r="AH21" s="34"/>
    </row>
    <row r="22" spans="1:35" ht="13.5" customHeight="1">
      <c r="A22" s="5"/>
      <c r="B22" s="116" t="s">
        <v>5</v>
      </c>
      <c r="C22" s="195"/>
      <c r="D22" s="195"/>
      <c r="E22" s="195"/>
      <c r="F22" s="195"/>
      <c r="G22" s="195"/>
      <c r="H22" s="195"/>
      <c r="I22" s="195"/>
      <c r="J22" s="195"/>
      <c r="K22" s="195"/>
      <c r="L22" s="195"/>
      <c r="M22" s="195"/>
      <c r="N22" s="195"/>
      <c r="O22" s="195"/>
      <c r="P22" s="195"/>
      <c r="Q22" s="195"/>
      <c r="R22" s="116" t="s">
        <v>32</v>
      </c>
      <c r="S22" s="195"/>
      <c r="T22" s="195"/>
      <c r="U22" s="195"/>
      <c r="V22" s="195"/>
      <c r="W22" s="195"/>
      <c r="X22" s="195"/>
      <c r="Y22" s="195"/>
      <c r="Z22" s="195"/>
      <c r="AA22" s="195"/>
      <c r="AB22" s="195"/>
      <c r="AC22" s="195"/>
      <c r="AD22" s="195"/>
      <c r="AE22" s="195"/>
      <c r="AF22" s="195"/>
      <c r="AG22" s="6"/>
      <c r="AH22" s="34"/>
    </row>
    <row r="23" spans="1:35" ht="13.5" customHeight="1">
      <c r="A23" s="5"/>
      <c r="B23" s="196" t="str">
        <f>見積書!$B$21</f>
        <v>あんしん電話当番サービス</v>
      </c>
      <c r="C23" s="197"/>
      <c r="D23" s="197"/>
      <c r="E23" s="197"/>
      <c r="F23" s="197"/>
      <c r="G23" s="197"/>
      <c r="H23" s="197"/>
      <c r="I23" s="197"/>
      <c r="J23" s="197"/>
      <c r="K23" s="197"/>
      <c r="L23" s="197"/>
      <c r="M23" s="197"/>
      <c r="N23" s="197"/>
      <c r="O23" s="197"/>
      <c r="P23" s="197"/>
      <c r="Q23" s="197"/>
      <c r="R23" s="196" t="str">
        <f>見積書!$R$21</f>
        <v>あんしん電話当番サービス利用規約</v>
      </c>
      <c r="S23" s="197"/>
      <c r="T23" s="197"/>
      <c r="U23" s="197"/>
      <c r="V23" s="197"/>
      <c r="W23" s="197"/>
      <c r="X23" s="197"/>
      <c r="Y23" s="197"/>
      <c r="Z23" s="197"/>
      <c r="AA23" s="197"/>
      <c r="AB23" s="197"/>
      <c r="AC23" s="197"/>
      <c r="AD23" s="197"/>
      <c r="AE23" s="197"/>
      <c r="AF23" s="197"/>
      <c r="AG23" s="6"/>
      <c r="AH23" s="34"/>
    </row>
    <row r="24" spans="1:35" ht="6" customHeight="1">
      <c r="A24" s="5"/>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6"/>
      <c r="AH24" s="34"/>
    </row>
    <row r="25" spans="1:35" ht="13.5" customHeight="1">
      <c r="A25" s="5"/>
      <c r="B25" s="273" t="s">
        <v>115</v>
      </c>
      <c r="C25" s="204"/>
      <c r="D25" s="204"/>
      <c r="E25" s="204"/>
      <c r="F25" s="204"/>
      <c r="G25" s="204"/>
      <c r="H25" s="204"/>
      <c r="I25" s="204"/>
      <c r="J25" s="204"/>
      <c r="K25" s="204"/>
      <c r="L25" s="204"/>
      <c r="M25" s="204"/>
      <c r="N25" s="204"/>
      <c r="O25" s="204"/>
      <c r="P25" s="204"/>
      <c r="Q25" s="205"/>
      <c r="R25" s="116" t="s">
        <v>34</v>
      </c>
      <c r="S25" s="195"/>
      <c r="T25" s="195"/>
      <c r="U25" s="195"/>
      <c r="V25" s="195"/>
      <c r="W25" s="195"/>
      <c r="X25" s="195"/>
      <c r="Y25" s="195"/>
      <c r="Z25" s="195"/>
      <c r="AA25" s="195"/>
      <c r="AB25" s="195"/>
      <c r="AC25" s="195"/>
      <c r="AD25" s="195"/>
      <c r="AE25" s="195"/>
      <c r="AF25" s="195"/>
      <c r="AG25" s="6"/>
      <c r="AH25" s="34"/>
    </row>
    <row r="26" spans="1:35" ht="13.5" customHeight="1">
      <c r="A26" s="5"/>
      <c r="B26" s="206"/>
      <c r="C26" s="207"/>
      <c r="D26" s="207"/>
      <c r="E26" s="207"/>
      <c r="F26" s="207"/>
      <c r="G26" s="207"/>
      <c r="H26" s="207"/>
      <c r="I26" s="207"/>
      <c r="J26" s="207"/>
      <c r="K26" s="207"/>
      <c r="L26" s="207"/>
      <c r="M26" s="207"/>
      <c r="N26" s="207"/>
      <c r="O26" s="207"/>
      <c r="P26" s="207"/>
      <c r="Q26" s="208"/>
      <c r="R26" s="116" t="s">
        <v>35</v>
      </c>
      <c r="S26" s="195"/>
      <c r="T26" s="195"/>
      <c r="U26" s="195"/>
      <c r="V26" s="195"/>
      <c r="W26" s="195"/>
      <c r="X26" s="195"/>
      <c r="Y26" s="195"/>
      <c r="Z26" s="116" t="s">
        <v>45</v>
      </c>
      <c r="AA26" s="195"/>
      <c r="AB26" s="195"/>
      <c r="AC26" s="195"/>
      <c r="AD26" s="195"/>
      <c r="AE26" s="195"/>
      <c r="AF26" s="195"/>
      <c r="AG26" s="6"/>
      <c r="AH26" s="34"/>
    </row>
    <row r="27" spans="1:35" ht="13.5" customHeight="1">
      <c r="A27" s="5"/>
      <c r="B27" s="116" t="s">
        <v>8</v>
      </c>
      <c r="C27" s="195"/>
      <c r="D27" s="195"/>
      <c r="E27" s="195"/>
      <c r="F27" s="195"/>
      <c r="G27" s="195"/>
      <c r="H27" s="193">
        <f>AB38</f>
        <v>0</v>
      </c>
      <c r="I27" s="122"/>
      <c r="J27" s="122"/>
      <c r="K27" s="122"/>
      <c r="L27" s="122"/>
      <c r="M27" s="122"/>
      <c r="N27" s="122"/>
      <c r="O27" s="119"/>
      <c r="P27" s="119"/>
      <c r="Q27" s="120"/>
      <c r="R27" s="164" t="str">
        <f>見積書!R25</f>
        <v>サービス開始後直ちに</v>
      </c>
      <c r="S27" s="165"/>
      <c r="T27" s="165"/>
      <c r="U27" s="165"/>
      <c r="V27" s="165"/>
      <c r="W27" s="165"/>
      <c r="X27" s="165"/>
      <c r="Y27" s="165"/>
      <c r="Z27" s="200" t="str">
        <f>見積書!Z25</f>
        <v>口座振替</v>
      </c>
      <c r="AA27" s="201"/>
      <c r="AB27" s="201"/>
      <c r="AC27" s="201"/>
      <c r="AD27" s="201"/>
      <c r="AE27" s="201"/>
      <c r="AF27" s="201"/>
      <c r="AG27" s="6"/>
      <c r="AH27" s="34"/>
    </row>
    <row r="28" spans="1:35" ht="13.5" customHeight="1">
      <c r="A28" s="5"/>
      <c r="B28" s="195" t="s">
        <v>9</v>
      </c>
      <c r="C28" s="195"/>
      <c r="D28" s="195"/>
      <c r="E28" s="195"/>
      <c r="F28" s="195"/>
      <c r="G28" s="195"/>
      <c r="H28" s="193">
        <f>AB56</f>
        <v>0</v>
      </c>
      <c r="I28" s="122"/>
      <c r="J28" s="122"/>
      <c r="K28" s="122"/>
      <c r="L28" s="122"/>
      <c r="M28" s="122"/>
      <c r="N28" s="122"/>
      <c r="O28" s="119"/>
      <c r="P28" s="119"/>
      <c r="Q28" s="120"/>
      <c r="R28" s="164" t="str">
        <f>見積書!R26</f>
        <v>請求期間開始後1か月以内</v>
      </c>
      <c r="S28" s="165"/>
      <c r="T28" s="165"/>
      <c r="U28" s="165"/>
      <c r="V28" s="165"/>
      <c r="W28" s="165"/>
      <c r="X28" s="165"/>
      <c r="Y28" s="165"/>
      <c r="Z28" s="168" t="str">
        <f>見積書!Z26</f>
        <v>1か月毎の</v>
      </c>
      <c r="AA28" s="168"/>
      <c r="AB28" s="169"/>
      <c r="AC28" s="198" t="str">
        <f>見積書!AC26</f>
        <v>口座振替</v>
      </c>
      <c r="AD28" s="199"/>
      <c r="AE28" s="199"/>
      <c r="AF28" s="199"/>
      <c r="AG28" s="6"/>
      <c r="AH28" s="34"/>
    </row>
    <row r="29" spans="1:35" ht="11.25" customHeight="1">
      <c r="A29" s="5"/>
      <c r="B29" s="170" t="str">
        <f>見積書!B27</f>
        <v>※月額料金は固定料金と従量料金の合計金額となります。従量料金は利用数に応じて変動するため、上記月額料金も変動します。</v>
      </c>
      <c r="C29" s="171"/>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row>
    <row r="30" spans="1:35" ht="11.25" customHeight="1">
      <c r="A30" s="5"/>
      <c r="B30" s="172" t="str">
        <f>見積書!B28</f>
        <v/>
      </c>
      <c r="C30" s="173"/>
      <c r="D30" s="173"/>
      <c r="E30" s="173"/>
      <c r="F30" s="173"/>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c r="AF30" s="173"/>
      <c r="AG30" s="6"/>
      <c r="AH30" s="34"/>
    </row>
    <row r="31" spans="1:35" ht="11.25" customHeight="1">
      <c r="A31" s="5"/>
      <c r="B31" s="173"/>
      <c r="C31" s="173"/>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73"/>
      <c r="AG31" s="6"/>
      <c r="AH31" s="34"/>
    </row>
    <row r="32" spans="1:35" ht="6" customHeight="1">
      <c r="A32" s="5"/>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6"/>
      <c r="AH32" s="34"/>
    </row>
    <row r="33" spans="1:34" ht="13.5" customHeight="1">
      <c r="A33" s="5"/>
      <c r="B33" s="174" t="s">
        <v>116</v>
      </c>
      <c r="C33" s="175"/>
      <c r="D33" s="175"/>
      <c r="E33" s="175"/>
      <c r="F33" s="175"/>
      <c r="G33" s="176"/>
      <c r="H33" s="2"/>
      <c r="I33" s="2"/>
      <c r="J33" s="2"/>
      <c r="K33" s="2"/>
      <c r="L33" s="2"/>
      <c r="M33" s="2"/>
      <c r="N33" s="2"/>
      <c r="O33" s="2"/>
      <c r="P33" s="2"/>
      <c r="Q33" s="2"/>
      <c r="R33" s="2"/>
      <c r="S33" s="2"/>
      <c r="T33" s="2"/>
      <c r="U33" s="2"/>
      <c r="V33" s="2"/>
      <c r="W33" s="2"/>
      <c r="X33" s="2"/>
      <c r="Y33" s="2"/>
      <c r="Z33" s="2"/>
      <c r="AA33" s="2"/>
      <c r="AB33" s="2"/>
      <c r="AC33" s="2"/>
      <c r="AD33" s="2"/>
      <c r="AE33" s="2"/>
      <c r="AF33" s="2"/>
      <c r="AG33" s="6"/>
      <c r="AH33" s="34"/>
    </row>
    <row r="34" spans="1:34" ht="13.5" customHeight="1">
      <c r="A34" s="5"/>
      <c r="B34" s="118" t="s">
        <v>12</v>
      </c>
      <c r="C34" s="119"/>
      <c r="D34" s="119"/>
      <c r="E34" s="119"/>
      <c r="F34" s="119"/>
      <c r="G34" s="120"/>
      <c r="H34" s="121" t="s">
        <v>29</v>
      </c>
      <c r="I34" s="122"/>
      <c r="J34" s="122"/>
      <c r="K34" s="122"/>
      <c r="L34" s="122"/>
      <c r="M34" s="122"/>
      <c r="N34" s="122"/>
      <c r="O34" s="122"/>
      <c r="P34" s="122"/>
      <c r="Q34" s="122"/>
      <c r="R34" s="122"/>
      <c r="S34" s="122"/>
      <c r="T34" s="122"/>
      <c r="U34" s="123"/>
      <c r="V34" s="161" t="s">
        <v>40</v>
      </c>
      <c r="W34" s="161"/>
      <c r="X34" s="161"/>
      <c r="Y34" s="162"/>
      <c r="Z34" s="163" t="s">
        <v>48</v>
      </c>
      <c r="AA34" s="163"/>
      <c r="AB34" s="161" t="s">
        <v>51</v>
      </c>
      <c r="AC34" s="161"/>
      <c r="AD34" s="161"/>
      <c r="AE34" s="161"/>
      <c r="AF34" s="161"/>
      <c r="AG34" s="6"/>
      <c r="AH34" s="34"/>
    </row>
    <row r="35" spans="1:34" ht="13.5" customHeight="1">
      <c r="A35" s="5"/>
      <c r="B35" s="222" t="str">
        <f>IF(見積書!B33="","",見積書!B33)</f>
        <v>初期料金</v>
      </c>
      <c r="C35" s="223"/>
      <c r="D35" s="223"/>
      <c r="E35" s="223"/>
      <c r="F35" s="223"/>
      <c r="G35" s="223"/>
      <c r="H35" s="223"/>
      <c r="I35" s="223"/>
      <c r="J35" s="223"/>
      <c r="K35" s="223"/>
      <c r="L35" s="223"/>
      <c r="M35" s="223"/>
      <c r="N35" s="223"/>
      <c r="O35" s="223"/>
      <c r="P35" s="223"/>
      <c r="Q35" s="223"/>
      <c r="R35" s="223"/>
      <c r="S35" s="223"/>
      <c r="T35" s="223"/>
      <c r="U35" s="224"/>
      <c r="V35" s="225">
        <f>IF(見積書!V33="","",見積書!V33)</f>
        <v>30000</v>
      </c>
      <c r="W35" s="226"/>
      <c r="X35" s="226"/>
      <c r="Y35" s="227"/>
      <c r="Z35" s="228" t="str">
        <f>IF(見積書!Z33="","",見積書!Z33)</f>
        <v/>
      </c>
      <c r="AA35" s="229"/>
      <c r="AB35" s="225" t="str">
        <f>IF(Z35="","",V35*Z35)</f>
        <v/>
      </c>
      <c r="AC35" s="226"/>
      <c r="AD35" s="226"/>
      <c r="AE35" s="226"/>
      <c r="AF35" s="230"/>
      <c r="AG35" s="6"/>
      <c r="AH35" s="34"/>
    </row>
    <row r="36" spans="1:34" ht="13.5" customHeight="1">
      <c r="A36" s="5"/>
      <c r="B36" s="222" t="str">
        <f>IF(見積書!B34="","",見積書!B34)</f>
        <v/>
      </c>
      <c r="C36" s="223"/>
      <c r="D36" s="223"/>
      <c r="E36" s="223"/>
      <c r="F36" s="223"/>
      <c r="G36" s="223"/>
      <c r="H36" s="223"/>
      <c r="I36" s="223"/>
      <c r="J36" s="223"/>
      <c r="K36" s="223"/>
      <c r="L36" s="223"/>
      <c r="M36" s="223"/>
      <c r="N36" s="223"/>
      <c r="O36" s="223"/>
      <c r="P36" s="223"/>
      <c r="Q36" s="223"/>
      <c r="R36" s="223"/>
      <c r="S36" s="223"/>
      <c r="T36" s="223"/>
      <c r="U36" s="224"/>
      <c r="V36" s="225" t="str">
        <f>IF(見積書!V34="","",見積書!V34)</f>
        <v/>
      </c>
      <c r="W36" s="226"/>
      <c r="X36" s="226"/>
      <c r="Y36" s="227"/>
      <c r="Z36" s="228" t="str">
        <f>IF(見積書!Z34="","",見積書!Z34)</f>
        <v/>
      </c>
      <c r="AA36" s="229"/>
      <c r="AB36" s="225" t="str">
        <f>IF(Z36="","",V36*Z36)</f>
        <v/>
      </c>
      <c r="AC36" s="226"/>
      <c r="AD36" s="226"/>
      <c r="AE36" s="226"/>
      <c r="AF36" s="230"/>
      <c r="AG36" s="6"/>
      <c r="AH36" s="34"/>
    </row>
    <row r="37" spans="1:34" ht="13.5" customHeight="1">
      <c r="A37" s="5"/>
      <c r="B37" s="222" t="str">
        <f>IF(見積書!B35="","",見積書!B35)</f>
        <v/>
      </c>
      <c r="C37" s="223"/>
      <c r="D37" s="223"/>
      <c r="E37" s="223"/>
      <c r="F37" s="223"/>
      <c r="G37" s="223"/>
      <c r="H37" s="223"/>
      <c r="I37" s="223"/>
      <c r="J37" s="223"/>
      <c r="K37" s="223"/>
      <c r="L37" s="223"/>
      <c r="M37" s="223"/>
      <c r="N37" s="223"/>
      <c r="O37" s="223"/>
      <c r="P37" s="223"/>
      <c r="Q37" s="223"/>
      <c r="R37" s="223"/>
      <c r="S37" s="223"/>
      <c r="T37" s="223"/>
      <c r="U37" s="224"/>
      <c r="V37" s="225" t="str">
        <f>IF(見積書!V35="","",見積書!V35)</f>
        <v/>
      </c>
      <c r="W37" s="226"/>
      <c r="X37" s="226"/>
      <c r="Y37" s="227"/>
      <c r="Z37" s="228" t="str">
        <f>IF(見積書!Z35="","",見積書!Z35)</f>
        <v/>
      </c>
      <c r="AA37" s="229"/>
      <c r="AB37" s="225" t="str">
        <f>IF(Z37="","",V37*Z37)</f>
        <v/>
      </c>
      <c r="AC37" s="226"/>
      <c r="AD37" s="226"/>
      <c r="AE37" s="226"/>
      <c r="AF37" s="230"/>
      <c r="AG37" s="6"/>
      <c r="AH37" s="34"/>
    </row>
    <row r="38" spans="1:34" ht="13.5" customHeight="1">
      <c r="A38" s="5"/>
      <c r="B38" s="231" t="s">
        <v>13</v>
      </c>
      <c r="C38" s="232"/>
      <c r="D38" s="232"/>
      <c r="E38" s="232"/>
      <c r="F38" s="232"/>
      <c r="G38" s="232"/>
      <c r="H38" s="232"/>
      <c r="I38" s="232"/>
      <c r="J38" s="232"/>
      <c r="K38" s="232"/>
      <c r="L38" s="232"/>
      <c r="M38" s="232"/>
      <c r="N38" s="232"/>
      <c r="O38" s="232"/>
      <c r="P38" s="232"/>
      <c r="Q38" s="232"/>
      <c r="R38" s="232"/>
      <c r="S38" s="232"/>
      <c r="T38" s="232"/>
      <c r="U38" s="232"/>
      <c r="V38" s="232"/>
      <c r="W38" s="232"/>
      <c r="X38" s="232"/>
      <c r="Y38" s="232"/>
      <c r="Z38" s="232"/>
      <c r="AA38" s="233"/>
      <c r="AB38" s="225">
        <f>SUM(AB35:AF37)</f>
        <v>0</v>
      </c>
      <c r="AC38" s="226"/>
      <c r="AD38" s="226"/>
      <c r="AE38" s="226"/>
      <c r="AF38" s="230"/>
      <c r="AG38" s="6"/>
      <c r="AH38" s="34"/>
    </row>
    <row r="39" spans="1:34" ht="6" customHeight="1">
      <c r="A39" s="5"/>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6"/>
      <c r="AH39" s="34"/>
    </row>
    <row r="40" spans="1:34" ht="13.5" customHeight="1">
      <c r="A40" s="5"/>
      <c r="B40" s="234" t="s">
        <v>14</v>
      </c>
      <c r="C40" s="235"/>
      <c r="D40" s="235"/>
      <c r="E40" s="235"/>
      <c r="F40" s="235"/>
      <c r="G40" s="236"/>
      <c r="H40" s="237" t="s">
        <v>29</v>
      </c>
      <c r="I40" s="238"/>
      <c r="J40" s="238"/>
      <c r="K40" s="238"/>
      <c r="L40" s="238"/>
      <c r="M40" s="238"/>
      <c r="N40" s="238"/>
      <c r="O40" s="238"/>
      <c r="P40" s="238"/>
      <c r="Q40" s="238"/>
      <c r="R40" s="238"/>
      <c r="S40" s="238"/>
      <c r="T40" s="238"/>
      <c r="U40" s="239"/>
      <c r="V40" s="240" t="s">
        <v>40</v>
      </c>
      <c r="W40" s="240"/>
      <c r="X40" s="240"/>
      <c r="Y40" s="241"/>
      <c r="Z40" s="242" t="s">
        <v>48</v>
      </c>
      <c r="AA40" s="242"/>
      <c r="AB40" s="240" t="s">
        <v>51</v>
      </c>
      <c r="AC40" s="240"/>
      <c r="AD40" s="240"/>
      <c r="AE40" s="240"/>
      <c r="AF40" s="240"/>
      <c r="AG40" s="6"/>
      <c r="AH40" s="34"/>
    </row>
    <row r="41" spans="1:34" ht="13.5" customHeight="1">
      <c r="A41" s="5"/>
      <c r="B41" s="243" t="s">
        <v>15</v>
      </c>
      <c r="C41" s="244"/>
      <c r="D41" s="244"/>
      <c r="E41" s="244"/>
      <c r="F41" s="244"/>
      <c r="G41" s="245"/>
      <c r="H41" s="246"/>
      <c r="I41" s="247"/>
      <c r="J41" s="247"/>
      <c r="K41" s="247"/>
      <c r="L41" s="247"/>
      <c r="M41" s="247"/>
      <c r="N41" s="247"/>
      <c r="O41" s="247"/>
      <c r="P41" s="248"/>
      <c r="Q41" s="247"/>
      <c r="R41" s="247"/>
      <c r="S41" s="247"/>
      <c r="T41" s="247"/>
      <c r="U41" s="247"/>
      <c r="V41" s="249"/>
      <c r="W41" s="226"/>
      <c r="X41" s="226"/>
      <c r="Y41" s="247"/>
      <c r="Z41" s="250"/>
      <c r="AA41" s="251"/>
      <c r="AB41" s="249"/>
      <c r="AC41" s="226"/>
      <c r="AD41" s="226"/>
      <c r="AE41" s="226"/>
      <c r="AF41" s="230"/>
      <c r="AG41" s="6"/>
      <c r="AH41" s="34"/>
    </row>
    <row r="42" spans="1:34" ht="13.5" customHeight="1">
      <c r="A42" s="5"/>
      <c r="B42" s="222" t="str">
        <f>IF(見積書!B40="","",見積書!B40)</f>
        <v/>
      </c>
      <c r="C42" s="223"/>
      <c r="D42" s="223"/>
      <c r="E42" s="223"/>
      <c r="F42" s="223"/>
      <c r="G42" s="224"/>
      <c r="H42" s="252" t="str">
        <f>IF(見積書!H40="","",見積書!H40)</f>
        <v/>
      </c>
      <c r="I42" s="252"/>
      <c r="J42" s="252"/>
      <c r="K42" s="252"/>
      <c r="L42" s="252"/>
      <c r="M42" s="252"/>
      <c r="N42" s="252"/>
      <c r="O42" s="252"/>
      <c r="P42" s="253" t="str">
        <f>IF(見積書!P40="","",見積書!P40)</f>
        <v/>
      </c>
      <c r="Q42" s="254"/>
      <c r="R42" s="254"/>
      <c r="S42" s="254"/>
      <c r="T42" s="254"/>
      <c r="U42" s="255"/>
      <c r="V42" s="225" t="str">
        <f>IF(見積書!V40="","",見積書!V40)</f>
        <v/>
      </c>
      <c r="W42" s="226"/>
      <c r="X42" s="226"/>
      <c r="Y42" s="227"/>
      <c r="Z42" s="228" t="str">
        <f>IF(見積書!Z40="","",見積書!Z40)</f>
        <v/>
      </c>
      <c r="AA42" s="229"/>
      <c r="AB42" s="225" t="str">
        <f t="shared" ref="AB42:AB48" si="0">IF(Z42="","",V42*Z42)</f>
        <v/>
      </c>
      <c r="AC42" s="226"/>
      <c r="AD42" s="226"/>
      <c r="AE42" s="226"/>
      <c r="AF42" s="230"/>
      <c r="AG42" s="6"/>
      <c r="AH42" s="34"/>
    </row>
    <row r="43" spans="1:34" ht="13.5" customHeight="1">
      <c r="A43" s="5"/>
      <c r="B43" s="222" t="str">
        <f>IF(見積書!B41="","",見積書!B41)</f>
        <v/>
      </c>
      <c r="C43" s="223"/>
      <c r="D43" s="223"/>
      <c r="E43" s="223"/>
      <c r="F43" s="223"/>
      <c r="G43" s="224"/>
      <c r="H43" s="252" t="str">
        <f>IF(見積書!H41="","",見積書!H41)</f>
        <v/>
      </c>
      <c r="I43" s="252"/>
      <c r="J43" s="252"/>
      <c r="K43" s="252"/>
      <c r="L43" s="252"/>
      <c r="M43" s="252"/>
      <c r="N43" s="252"/>
      <c r="O43" s="252"/>
      <c r="P43" s="253" t="str">
        <f>IF(見積書!P41="","",見積書!P41)</f>
        <v/>
      </c>
      <c r="Q43" s="254"/>
      <c r="R43" s="254"/>
      <c r="S43" s="254"/>
      <c r="T43" s="254"/>
      <c r="U43" s="255"/>
      <c r="V43" s="225" t="str">
        <f>IF(見積書!V41="","",見積書!V41)</f>
        <v/>
      </c>
      <c r="W43" s="226"/>
      <c r="X43" s="226"/>
      <c r="Y43" s="227"/>
      <c r="Z43" s="228" t="str">
        <f>IF(見積書!Z41="","",見積書!Z41)</f>
        <v/>
      </c>
      <c r="AA43" s="229"/>
      <c r="AB43" s="225" t="str">
        <f t="shared" si="0"/>
        <v/>
      </c>
      <c r="AC43" s="226"/>
      <c r="AD43" s="226"/>
      <c r="AE43" s="226"/>
      <c r="AF43" s="230"/>
      <c r="AG43" s="6"/>
      <c r="AH43" s="34"/>
    </row>
    <row r="44" spans="1:34" ht="13.5" customHeight="1">
      <c r="A44" s="5"/>
      <c r="B44" s="222" t="str">
        <f>IF(見積書!B42="","",見積書!B42)</f>
        <v/>
      </c>
      <c r="C44" s="223"/>
      <c r="D44" s="223"/>
      <c r="E44" s="223"/>
      <c r="F44" s="223"/>
      <c r="G44" s="224"/>
      <c r="H44" s="252" t="str">
        <f>IF(見積書!H42="","",見積書!H42)</f>
        <v/>
      </c>
      <c r="I44" s="252"/>
      <c r="J44" s="252"/>
      <c r="K44" s="252"/>
      <c r="L44" s="252"/>
      <c r="M44" s="252"/>
      <c r="N44" s="252"/>
      <c r="O44" s="252"/>
      <c r="P44" s="253" t="str">
        <f>IF(見積書!P42="","",見積書!P42)</f>
        <v/>
      </c>
      <c r="Q44" s="254"/>
      <c r="R44" s="254"/>
      <c r="S44" s="254"/>
      <c r="T44" s="254"/>
      <c r="U44" s="255"/>
      <c r="V44" s="225" t="str">
        <f>IF(見積書!V42="","",見積書!V42)</f>
        <v/>
      </c>
      <c r="W44" s="226"/>
      <c r="X44" s="226"/>
      <c r="Y44" s="227"/>
      <c r="Z44" s="228" t="str">
        <f>IF(見積書!Z42="","",見積書!Z42)</f>
        <v/>
      </c>
      <c r="AA44" s="229"/>
      <c r="AB44" s="225" t="str">
        <f t="shared" si="0"/>
        <v/>
      </c>
      <c r="AC44" s="226"/>
      <c r="AD44" s="226"/>
      <c r="AE44" s="226"/>
      <c r="AF44" s="230"/>
      <c r="AG44" s="6"/>
      <c r="AH44" s="34"/>
    </row>
    <row r="45" spans="1:34" ht="13.5" customHeight="1">
      <c r="A45" s="5"/>
      <c r="B45" s="222" t="str">
        <f>IF(見積書!B43="","",見積書!B43)</f>
        <v/>
      </c>
      <c r="C45" s="223"/>
      <c r="D45" s="223"/>
      <c r="E45" s="223"/>
      <c r="F45" s="223"/>
      <c r="G45" s="224"/>
      <c r="H45" s="252" t="str">
        <f>IF(見積書!H43="","",見積書!H43)</f>
        <v/>
      </c>
      <c r="I45" s="252"/>
      <c r="J45" s="252"/>
      <c r="K45" s="252"/>
      <c r="L45" s="252"/>
      <c r="M45" s="252"/>
      <c r="N45" s="252"/>
      <c r="O45" s="252"/>
      <c r="P45" s="253" t="str">
        <f>IF(見積書!P43="","",見積書!P43)</f>
        <v/>
      </c>
      <c r="Q45" s="254"/>
      <c r="R45" s="254"/>
      <c r="S45" s="254"/>
      <c r="T45" s="254"/>
      <c r="U45" s="255"/>
      <c r="V45" s="225" t="str">
        <f>IF(見積書!V43="","",見積書!V43)</f>
        <v/>
      </c>
      <c r="W45" s="226"/>
      <c r="X45" s="226"/>
      <c r="Y45" s="227"/>
      <c r="Z45" s="228" t="str">
        <f>IF(見積書!Z43="","",見積書!Z43)</f>
        <v/>
      </c>
      <c r="AA45" s="229"/>
      <c r="AB45" s="225" t="str">
        <f t="shared" si="0"/>
        <v/>
      </c>
      <c r="AC45" s="226"/>
      <c r="AD45" s="226"/>
      <c r="AE45" s="226"/>
      <c r="AF45" s="230"/>
      <c r="AG45" s="6"/>
      <c r="AH45" s="34"/>
    </row>
    <row r="46" spans="1:34" ht="13.5" customHeight="1">
      <c r="A46" s="5"/>
      <c r="B46" s="222" t="str">
        <f>IF(見積書!B44="","",見積書!B44)</f>
        <v/>
      </c>
      <c r="C46" s="223"/>
      <c r="D46" s="223"/>
      <c r="E46" s="223"/>
      <c r="F46" s="223"/>
      <c r="G46" s="224"/>
      <c r="H46" s="252" t="str">
        <f>IF(見積書!H44="","",見積書!H44)</f>
        <v/>
      </c>
      <c r="I46" s="252"/>
      <c r="J46" s="252"/>
      <c r="K46" s="252"/>
      <c r="L46" s="252"/>
      <c r="M46" s="252"/>
      <c r="N46" s="252"/>
      <c r="O46" s="252"/>
      <c r="P46" s="253" t="str">
        <f>IF(見積書!P44="","",見積書!P44)</f>
        <v/>
      </c>
      <c r="Q46" s="254"/>
      <c r="R46" s="254"/>
      <c r="S46" s="254"/>
      <c r="T46" s="254"/>
      <c r="U46" s="255"/>
      <c r="V46" s="225" t="str">
        <f>IF(見積書!V44="","",見積書!V44)</f>
        <v/>
      </c>
      <c r="W46" s="226"/>
      <c r="X46" s="226"/>
      <c r="Y46" s="227"/>
      <c r="Z46" s="228" t="str">
        <f>IF(見積書!Z44="","",見積書!Z44)</f>
        <v/>
      </c>
      <c r="AA46" s="229"/>
      <c r="AB46" s="225" t="str">
        <f t="shared" si="0"/>
        <v/>
      </c>
      <c r="AC46" s="226"/>
      <c r="AD46" s="226"/>
      <c r="AE46" s="226"/>
      <c r="AF46" s="230"/>
      <c r="AG46" s="6"/>
      <c r="AH46" s="34"/>
    </row>
    <row r="47" spans="1:34" ht="13.5" customHeight="1">
      <c r="A47" s="5"/>
      <c r="B47" s="222" t="str">
        <f>IF(見積書!B45="","",見積書!B45)</f>
        <v/>
      </c>
      <c r="C47" s="223"/>
      <c r="D47" s="223"/>
      <c r="E47" s="223"/>
      <c r="F47" s="223"/>
      <c r="G47" s="224"/>
      <c r="H47" s="252" t="str">
        <f>IF(見積書!H45="","",見積書!H45)</f>
        <v/>
      </c>
      <c r="I47" s="252"/>
      <c r="J47" s="252"/>
      <c r="K47" s="252"/>
      <c r="L47" s="252"/>
      <c r="M47" s="252"/>
      <c r="N47" s="252"/>
      <c r="O47" s="252"/>
      <c r="P47" s="253" t="str">
        <f>IF(見積書!P45="","",見積書!P45)</f>
        <v/>
      </c>
      <c r="Q47" s="254"/>
      <c r="R47" s="254"/>
      <c r="S47" s="254"/>
      <c r="T47" s="254"/>
      <c r="U47" s="255"/>
      <c r="V47" s="225" t="str">
        <f>IF(見積書!V45="","",見積書!V45)</f>
        <v/>
      </c>
      <c r="W47" s="226"/>
      <c r="X47" s="226"/>
      <c r="Y47" s="227"/>
      <c r="Z47" s="228" t="str">
        <f>IF(見積書!Z45="","",見積書!Z45)</f>
        <v/>
      </c>
      <c r="AA47" s="229"/>
      <c r="AB47" s="225" t="str">
        <f t="shared" si="0"/>
        <v/>
      </c>
      <c r="AC47" s="226"/>
      <c r="AD47" s="226"/>
      <c r="AE47" s="226"/>
      <c r="AF47" s="230"/>
      <c r="AG47" s="6"/>
      <c r="AH47" s="34"/>
    </row>
    <row r="48" spans="1:34" ht="13.5" customHeight="1">
      <c r="A48" s="5"/>
      <c r="B48" s="222" t="str">
        <f>IF(見積書!B46="","",見積書!B46)</f>
        <v/>
      </c>
      <c r="C48" s="223"/>
      <c r="D48" s="223"/>
      <c r="E48" s="223"/>
      <c r="F48" s="223"/>
      <c r="G48" s="224"/>
      <c r="H48" s="252" t="str">
        <f>IF(見積書!H46="","",見積書!H46)</f>
        <v/>
      </c>
      <c r="I48" s="252"/>
      <c r="J48" s="252"/>
      <c r="K48" s="252"/>
      <c r="L48" s="252"/>
      <c r="M48" s="252"/>
      <c r="N48" s="252"/>
      <c r="O48" s="252"/>
      <c r="P48" s="253" t="str">
        <f>IF(見積書!P46="","",見積書!P46)</f>
        <v/>
      </c>
      <c r="Q48" s="254"/>
      <c r="R48" s="254"/>
      <c r="S48" s="254"/>
      <c r="T48" s="254"/>
      <c r="U48" s="255"/>
      <c r="V48" s="225" t="str">
        <f>IF(見積書!V46="","",見積書!V46)</f>
        <v/>
      </c>
      <c r="W48" s="226"/>
      <c r="X48" s="226"/>
      <c r="Y48" s="227"/>
      <c r="Z48" s="228" t="str">
        <f>IF(見積書!Z46="","",見積書!Z46)</f>
        <v/>
      </c>
      <c r="AA48" s="229"/>
      <c r="AB48" s="225" t="str">
        <f t="shared" si="0"/>
        <v/>
      </c>
      <c r="AC48" s="226"/>
      <c r="AD48" s="226"/>
      <c r="AE48" s="226"/>
      <c r="AF48" s="230"/>
      <c r="AG48" s="6"/>
      <c r="AH48" s="34"/>
    </row>
    <row r="49" spans="1:35" ht="13.5" customHeight="1">
      <c r="A49" s="5"/>
      <c r="B49" s="256" t="s">
        <v>16</v>
      </c>
      <c r="C49" s="244"/>
      <c r="D49" s="244"/>
      <c r="E49" s="244"/>
      <c r="F49" s="244"/>
      <c r="G49" s="245"/>
      <c r="H49" s="246"/>
      <c r="I49" s="247"/>
      <c r="J49" s="247"/>
      <c r="K49" s="247"/>
      <c r="L49" s="247"/>
      <c r="M49" s="247"/>
      <c r="N49" s="247"/>
      <c r="O49" s="247"/>
      <c r="P49" s="248"/>
      <c r="Q49" s="247"/>
      <c r="R49" s="247"/>
      <c r="S49" s="247"/>
      <c r="T49" s="247"/>
      <c r="U49" s="247"/>
      <c r="V49" s="249"/>
      <c r="W49" s="226"/>
      <c r="X49" s="226"/>
      <c r="Y49" s="247"/>
      <c r="Z49" s="250"/>
      <c r="AA49" s="251"/>
      <c r="AB49" s="249"/>
      <c r="AC49" s="226"/>
      <c r="AD49" s="226"/>
      <c r="AE49" s="226"/>
      <c r="AF49" s="230"/>
      <c r="AG49" s="6"/>
      <c r="AH49" s="34"/>
    </row>
    <row r="50" spans="1:35" ht="13.5" customHeight="1">
      <c r="A50" s="5"/>
      <c r="B50" s="222" t="str">
        <f>IF(見積書!B48="","",見積書!B48)</f>
        <v/>
      </c>
      <c r="C50" s="223"/>
      <c r="D50" s="223"/>
      <c r="E50" s="223"/>
      <c r="F50" s="223"/>
      <c r="G50" s="224"/>
      <c r="H50" s="252" t="str">
        <f>IF(見積書!H48="","",見積書!H48)</f>
        <v/>
      </c>
      <c r="I50" s="252"/>
      <c r="J50" s="252"/>
      <c r="K50" s="252"/>
      <c r="L50" s="252"/>
      <c r="M50" s="252"/>
      <c r="N50" s="252"/>
      <c r="O50" s="252"/>
      <c r="P50" s="253" t="str">
        <f>IF(見積書!P48="","",見積書!P48)</f>
        <v/>
      </c>
      <c r="Q50" s="254"/>
      <c r="R50" s="254"/>
      <c r="S50" s="254"/>
      <c r="T50" s="254"/>
      <c r="U50" s="255"/>
      <c r="V50" s="225" t="str">
        <f>IF(見積書!V48="","",見積書!V48)</f>
        <v/>
      </c>
      <c r="W50" s="226"/>
      <c r="X50" s="226"/>
      <c r="Y50" s="227"/>
      <c r="Z50" s="228" t="str">
        <f>IF(見積書!Z48="","",見積書!Z48)</f>
        <v/>
      </c>
      <c r="AA50" s="229"/>
      <c r="AB50" s="225" t="str">
        <f t="shared" ref="AB50:AB55" si="1">IF(Z50="","",V50*Z50)</f>
        <v/>
      </c>
      <c r="AC50" s="226"/>
      <c r="AD50" s="226"/>
      <c r="AE50" s="226"/>
      <c r="AF50" s="230"/>
      <c r="AG50" s="6"/>
      <c r="AH50" s="34"/>
    </row>
    <row r="51" spans="1:35" ht="13.5" customHeight="1">
      <c r="A51" s="5"/>
      <c r="B51" s="222" t="str">
        <f>IF(見積書!B49="","",見積書!B49)</f>
        <v/>
      </c>
      <c r="C51" s="223"/>
      <c r="D51" s="223"/>
      <c r="E51" s="223"/>
      <c r="F51" s="223"/>
      <c r="G51" s="224"/>
      <c r="H51" s="252" t="str">
        <f>IF(見積書!H49="","",見積書!H49)</f>
        <v/>
      </c>
      <c r="I51" s="252"/>
      <c r="J51" s="252"/>
      <c r="K51" s="252"/>
      <c r="L51" s="252"/>
      <c r="M51" s="252"/>
      <c r="N51" s="252"/>
      <c r="O51" s="252"/>
      <c r="P51" s="253" t="str">
        <f>IF(見積書!P49="","",見積書!P49)</f>
        <v/>
      </c>
      <c r="Q51" s="254"/>
      <c r="R51" s="254"/>
      <c r="S51" s="254"/>
      <c r="T51" s="254"/>
      <c r="U51" s="255"/>
      <c r="V51" s="225" t="str">
        <f>IF(見積書!V49="","",見積書!V49)</f>
        <v/>
      </c>
      <c r="W51" s="226"/>
      <c r="X51" s="226"/>
      <c r="Y51" s="227"/>
      <c r="Z51" s="228" t="str">
        <f>IF(見積書!Z49="","",見積書!Z49)</f>
        <v/>
      </c>
      <c r="AA51" s="229"/>
      <c r="AB51" s="225" t="str">
        <f t="shared" si="1"/>
        <v/>
      </c>
      <c r="AC51" s="226"/>
      <c r="AD51" s="226"/>
      <c r="AE51" s="226"/>
      <c r="AF51" s="230"/>
      <c r="AG51" s="6"/>
      <c r="AH51" s="34"/>
    </row>
    <row r="52" spans="1:35" ht="13.5" customHeight="1">
      <c r="A52" s="5"/>
      <c r="B52" s="222" t="str">
        <f>IF(見積書!B50="","",見積書!B50)</f>
        <v/>
      </c>
      <c r="C52" s="223"/>
      <c r="D52" s="223"/>
      <c r="E52" s="223"/>
      <c r="F52" s="223"/>
      <c r="G52" s="224"/>
      <c r="H52" s="252" t="str">
        <f>IF(見積書!H50="","",見積書!H50)</f>
        <v/>
      </c>
      <c r="I52" s="252"/>
      <c r="J52" s="252"/>
      <c r="K52" s="252"/>
      <c r="L52" s="252"/>
      <c r="M52" s="252"/>
      <c r="N52" s="252"/>
      <c r="O52" s="252"/>
      <c r="P52" s="253" t="str">
        <f>IF(見積書!P50="","",見積書!P50)</f>
        <v/>
      </c>
      <c r="Q52" s="254"/>
      <c r="R52" s="254"/>
      <c r="S52" s="254"/>
      <c r="T52" s="254"/>
      <c r="U52" s="255"/>
      <c r="V52" s="225" t="str">
        <f>IF(見積書!V50="","",見積書!V50)</f>
        <v/>
      </c>
      <c r="W52" s="226"/>
      <c r="X52" s="226"/>
      <c r="Y52" s="227"/>
      <c r="Z52" s="228" t="str">
        <f>IF(見積書!Z50="","",見積書!Z50)</f>
        <v/>
      </c>
      <c r="AA52" s="229"/>
      <c r="AB52" s="225" t="str">
        <f t="shared" si="1"/>
        <v/>
      </c>
      <c r="AC52" s="226"/>
      <c r="AD52" s="226"/>
      <c r="AE52" s="226"/>
      <c r="AF52" s="230"/>
      <c r="AG52" s="6"/>
      <c r="AH52" s="34"/>
    </row>
    <row r="53" spans="1:35" ht="13.5" customHeight="1">
      <c r="A53" s="5"/>
      <c r="B53" s="222" t="str">
        <f>IF(見積書!B51="","",見積書!B51)</f>
        <v/>
      </c>
      <c r="C53" s="223"/>
      <c r="D53" s="223"/>
      <c r="E53" s="223"/>
      <c r="F53" s="223"/>
      <c r="G53" s="224"/>
      <c r="H53" s="252" t="str">
        <f>IF(見積書!H51="","",見積書!H51)</f>
        <v/>
      </c>
      <c r="I53" s="252"/>
      <c r="J53" s="252"/>
      <c r="K53" s="252"/>
      <c r="L53" s="252"/>
      <c r="M53" s="252"/>
      <c r="N53" s="252"/>
      <c r="O53" s="252"/>
      <c r="P53" s="253" t="str">
        <f>IF(見積書!P51="","",見積書!P51)</f>
        <v/>
      </c>
      <c r="Q53" s="254"/>
      <c r="R53" s="254"/>
      <c r="S53" s="254"/>
      <c r="T53" s="254"/>
      <c r="U53" s="255"/>
      <c r="V53" s="225" t="str">
        <f>IF(見積書!V51="","",見積書!V51)</f>
        <v/>
      </c>
      <c r="W53" s="226"/>
      <c r="X53" s="226"/>
      <c r="Y53" s="227"/>
      <c r="Z53" s="228" t="str">
        <f>IF(見積書!Z51="","",見積書!Z51)</f>
        <v/>
      </c>
      <c r="AA53" s="229"/>
      <c r="AB53" s="225" t="str">
        <f t="shared" si="1"/>
        <v/>
      </c>
      <c r="AC53" s="226"/>
      <c r="AD53" s="226"/>
      <c r="AE53" s="226"/>
      <c r="AF53" s="230"/>
      <c r="AG53" s="6"/>
      <c r="AH53" s="34"/>
    </row>
    <row r="54" spans="1:35" ht="13.5" customHeight="1">
      <c r="A54" s="5"/>
      <c r="B54" s="222" t="str">
        <f>IF(見積書!B52="","",見積書!B52)</f>
        <v/>
      </c>
      <c r="C54" s="223"/>
      <c r="D54" s="223"/>
      <c r="E54" s="223"/>
      <c r="F54" s="223"/>
      <c r="G54" s="224"/>
      <c r="H54" s="252" t="str">
        <f>IF(見積書!H52="","",見積書!H52)</f>
        <v/>
      </c>
      <c r="I54" s="252"/>
      <c r="J54" s="252"/>
      <c r="K54" s="252"/>
      <c r="L54" s="252"/>
      <c r="M54" s="252"/>
      <c r="N54" s="252"/>
      <c r="O54" s="252"/>
      <c r="P54" s="253" t="str">
        <f>IF(見積書!P52="","",見積書!P52)</f>
        <v/>
      </c>
      <c r="Q54" s="254"/>
      <c r="R54" s="254"/>
      <c r="S54" s="254"/>
      <c r="T54" s="254"/>
      <c r="U54" s="255"/>
      <c r="V54" s="225" t="str">
        <f>IF(見積書!V52="","",見積書!V52)</f>
        <v/>
      </c>
      <c r="W54" s="226"/>
      <c r="X54" s="226"/>
      <c r="Y54" s="227"/>
      <c r="Z54" s="228" t="str">
        <f>IF(見積書!Z52="","",見積書!Z52)</f>
        <v/>
      </c>
      <c r="AA54" s="229"/>
      <c r="AB54" s="225" t="str">
        <f t="shared" si="1"/>
        <v/>
      </c>
      <c r="AC54" s="226"/>
      <c r="AD54" s="226"/>
      <c r="AE54" s="226"/>
      <c r="AF54" s="230"/>
      <c r="AG54" s="6"/>
      <c r="AH54" s="34"/>
    </row>
    <row r="55" spans="1:35" ht="13.5" customHeight="1">
      <c r="A55" s="5"/>
      <c r="B55" s="222" t="str">
        <f>IF(見積書!B53="","",見積書!B53)</f>
        <v/>
      </c>
      <c r="C55" s="223"/>
      <c r="D55" s="223"/>
      <c r="E55" s="223"/>
      <c r="F55" s="223"/>
      <c r="G55" s="224"/>
      <c r="H55" s="252" t="str">
        <f>IF(見積書!H53="","",見積書!H53)</f>
        <v/>
      </c>
      <c r="I55" s="252"/>
      <c r="J55" s="252"/>
      <c r="K55" s="252"/>
      <c r="L55" s="252"/>
      <c r="M55" s="252"/>
      <c r="N55" s="252"/>
      <c r="O55" s="252"/>
      <c r="P55" s="253" t="str">
        <f>IF(見積書!P53="","",見積書!P53)</f>
        <v/>
      </c>
      <c r="Q55" s="254"/>
      <c r="R55" s="254"/>
      <c r="S55" s="254"/>
      <c r="T55" s="254"/>
      <c r="U55" s="255"/>
      <c r="V55" s="225" t="str">
        <f>IF(見積書!V53="","",見積書!V53)</f>
        <v/>
      </c>
      <c r="W55" s="226"/>
      <c r="X55" s="226"/>
      <c r="Y55" s="227"/>
      <c r="Z55" s="228" t="str">
        <f>IF(見積書!Z53="","",見積書!Z53)</f>
        <v/>
      </c>
      <c r="AA55" s="229"/>
      <c r="AB55" s="225" t="str">
        <f t="shared" si="1"/>
        <v/>
      </c>
      <c r="AC55" s="226"/>
      <c r="AD55" s="226"/>
      <c r="AE55" s="226"/>
      <c r="AF55" s="230"/>
      <c r="AG55" s="6"/>
      <c r="AH55" s="34"/>
    </row>
    <row r="56" spans="1:35" ht="13.5" customHeight="1">
      <c r="A56" s="5"/>
      <c r="B56" s="231" t="s">
        <v>13</v>
      </c>
      <c r="C56" s="232"/>
      <c r="D56" s="232"/>
      <c r="E56" s="232"/>
      <c r="F56" s="232"/>
      <c r="G56" s="232"/>
      <c r="H56" s="232"/>
      <c r="I56" s="232"/>
      <c r="J56" s="232"/>
      <c r="K56" s="232"/>
      <c r="L56" s="232"/>
      <c r="M56" s="232"/>
      <c r="N56" s="232"/>
      <c r="O56" s="232"/>
      <c r="P56" s="232"/>
      <c r="Q56" s="232"/>
      <c r="R56" s="232"/>
      <c r="S56" s="232"/>
      <c r="T56" s="232"/>
      <c r="U56" s="232"/>
      <c r="V56" s="232"/>
      <c r="W56" s="232"/>
      <c r="X56" s="232"/>
      <c r="Y56" s="232"/>
      <c r="Z56" s="232"/>
      <c r="AA56" s="233"/>
      <c r="AB56" s="225">
        <f>SUM(AB50:AF55,AB42:AF48)</f>
        <v>0</v>
      </c>
      <c r="AC56" s="226"/>
      <c r="AD56" s="226"/>
      <c r="AE56" s="226"/>
      <c r="AF56" s="230"/>
      <c r="AG56" s="6"/>
      <c r="AH56" s="34"/>
    </row>
    <row r="57" spans="1:35" ht="6" customHeight="1">
      <c r="A57" s="5"/>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6"/>
      <c r="AH57" s="34"/>
    </row>
    <row r="58" spans="1:35" ht="13.5" customHeight="1">
      <c r="A58" s="5"/>
      <c r="B58" s="195" t="s">
        <v>117</v>
      </c>
      <c r="C58" s="195"/>
      <c r="D58" s="195"/>
      <c r="E58" s="195"/>
      <c r="F58" s="195"/>
      <c r="G58" s="195"/>
      <c r="H58" s="51"/>
      <c r="I58" s="265"/>
      <c r="J58" s="266"/>
      <c r="K58" s="266"/>
      <c r="L58" s="52" t="s">
        <v>126</v>
      </c>
      <c r="M58" s="265"/>
      <c r="N58" s="266"/>
      <c r="O58" s="53" t="s">
        <v>127</v>
      </c>
      <c r="P58" s="265"/>
      <c r="Q58" s="266"/>
      <c r="R58" s="53" t="s">
        <v>128</v>
      </c>
      <c r="S58" s="54"/>
      <c r="T58" s="81"/>
      <c r="U58" s="82"/>
      <c r="V58" s="82"/>
      <c r="W58" s="82"/>
      <c r="X58" s="82"/>
      <c r="Y58" s="83"/>
      <c r="Z58" s="80"/>
      <c r="AA58" s="80"/>
      <c r="AB58" s="80"/>
      <c r="AC58" s="80"/>
      <c r="AD58" s="80"/>
      <c r="AE58" s="80"/>
      <c r="AF58" s="80"/>
      <c r="AG58" s="6"/>
      <c r="AH58" s="34"/>
    </row>
    <row r="59" spans="1:35" ht="13.5" customHeight="1">
      <c r="A59" s="5"/>
      <c r="B59" s="149" t="s">
        <v>17</v>
      </c>
      <c r="C59" s="149"/>
      <c r="D59" s="149"/>
      <c r="E59" s="149"/>
      <c r="F59" s="149"/>
      <c r="G59" s="149"/>
      <c r="H59" s="143" t="str">
        <f>見積書!H56</f>
        <v>サービス開始日より１年間とします。ただし、契約期間満了の３か月前までに、お客様またはセコムから相手方に対して文書による別段の意思表示がないときは、契約期間は１年間更新され、その後も同様とします。</v>
      </c>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5"/>
      <c r="AG59" s="6"/>
      <c r="AH59" s="34"/>
    </row>
    <row r="60" spans="1:35" ht="13.5" customHeight="1">
      <c r="A60" s="5"/>
      <c r="B60" s="150"/>
      <c r="C60" s="150"/>
      <c r="D60" s="150"/>
      <c r="E60" s="150"/>
      <c r="F60" s="150"/>
      <c r="G60" s="150"/>
      <c r="H60" s="146"/>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8"/>
      <c r="AG60" s="6"/>
      <c r="AH60" s="34"/>
    </row>
    <row r="61" spans="1:35" ht="6" customHeight="1">
      <c r="A61" s="5"/>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6"/>
      <c r="AH61" s="34"/>
    </row>
    <row r="62" spans="1:35" ht="13.5" hidden="1" customHeight="1">
      <c r="A62" s="5"/>
      <c r="B62" s="282" t="inlineStr">
        <is>
          <t>サービス
提供先</t>
          <rPh sb="5" eb="7">
            <t>テイキョウ</t>
          </rPh>
          <rPh sb="7" eb="8">
            <t>サキ</t>
          </rPh>
          <phoneticPr fontId="2"/>
        </is>
      </c>
      <c r="C62" s="283"/>
      <c r="D62" s="284"/>
      <c r="E62" s="195" t="inlineStr">
        <is>
          <t>ご住所</t>
          <rPh sb="1" eb="3">
            <t>ジュウショ</t>
          </rPh>
          <phoneticPr fontId="2"/>
        </is>
      </c>
      <c r="F62" s="199"/>
      <c r="G62" s="199"/>
      <c r="H62" s="17" t="inlineStr">
        <is>
          <t>〒</t>
          <phoneticPr fontId="2"/>
        </is>
      </c>
      <c r="I62" s="64"/>
      <c r="J62" s="44" t="inlineStr">
        <is>
          <t>-</t>
          <phoneticPr fontId="2"/>
        </is>
      </c>
      <c r="K62" s="291"/>
      <c r="L62" s="291"/>
      <c r="M62" s="262" t="inlineStr">
        <is>
          <t>ﾌﾘｶﾞﾅ</t>
          <phoneticPr fontId="2"/>
        </is>
      </c>
      <c r="N62" s="262"/>
      <c r="O62" s="280"/>
      <c r="P62" s="281"/>
      <c r="Q62" s="281"/>
      <c r="R62" s="281"/>
      <c r="S62" s="281"/>
      <c r="T62" s="281"/>
      <c r="U62" s="281"/>
      <c r="V62" s="281"/>
      <c r="W62" s="281"/>
      <c r="X62" s="281"/>
      <c r="Y62" s="281"/>
      <c r="Z62" s="281"/>
      <c r="AA62" s="281"/>
      <c r="AB62" s="281"/>
      <c r="AC62" s="281"/>
      <c r="AD62" s="281"/>
      <c r="AE62" s="281"/>
      <c r="AF62" s="100"/>
      <c r="AG62" s="6"/>
      <c r="AH62" s="6"/>
      <c r="AI62" s="5"/>
    </row>
    <row r="63" spans="1:35" ht="9.9499999999999993" hidden="1" customHeight="1">
      <c r="A63" s="5"/>
      <c r="B63" s="285"/>
      <c r="C63" s="286"/>
      <c r="D63" s="287"/>
      <c r="E63" s="199"/>
      <c r="F63" s="199"/>
      <c r="G63" s="199"/>
      <c r="H63" s="277"/>
      <c r="I63" s="278"/>
      <c r="J63" s="278"/>
      <c r="K63" s="278"/>
      <c r="L63" s="278"/>
      <c r="M63" s="278"/>
      <c r="N63" s="278"/>
      <c r="O63" s="278"/>
      <c r="P63" s="278"/>
      <c r="Q63" s="278"/>
      <c r="R63" s="278"/>
      <c r="S63" s="278"/>
      <c r="T63" s="278"/>
      <c r="U63" s="278"/>
      <c r="V63" s="278"/>
      <c r="W63" s="278"/>
      <c r="X63" s="278"/>
      <c r="Y63" s="278"/>
      <c r="Z63" s="278"/>
      <c r="AA63" s="278"/>
      <c r="AB63" s="278"/>
      <c r="AC63" s="278"/>
      <c r="AD63" s="278"/>
      <c r="AE63" s="278"/>
      <c r="AF63" s="279"/>
      <c r="AG63" s="6"/>
      <c r="AH63" s="6"/>
      <c r="AI63" s="5"/>
    </row>
    <row r="64" spans="1:35" ht="9.9499999999999993" hidden="1" customHeight="1">
      <c r="A64" s="5"/>
      <c r="B64" s="285"/>
      <c r="C64" s="286"/>
      <c r="D64" s="287"/>
      <c r="E64" s="199"/>
      <c r="F64" s="199"/>
      <c r="G64" s="199"/>
      <c r="H64" s="270"/>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2"/>
      <c r="AG64" s="6"/>
      <c r="AH64" s="6"/>
      <c r="AI64" s="5"/>
    </row>
    <row r="65" spans="1:35" ht="9.9499999999999993" hidden="1" customHeight="1">
      <c r="A65" s="5"/>
      <c r="B65" s="285"/>
      <c r="C65" s="286"/>
      <c r="D65" s="287"/>
      <c r="E65" s="195" t="inlineStr">
        <is>
          <t>ご名称</t>
          <rPh sb="1" eb="3">
            <t>メイショウ</t>
          </rPh>
          <phoneticPr fontId="2"/>
        </is>
      </c>
      <c r="F65" s="199"/>
      <c r="G65" s="199"/>
      <c r="H65" s="267"/>
      <c r="I65" s="268"/>
      <c r="J65" s="268"/>
      <c r="K65" s="268"/>
      <c r="L65" s="268"/>
      <c r="M65" s="268"/>
      <c r="N65" s="268"/>
      <c r="O65" s="268"/>
      <c r="P65" s="268"/>
      <c r="Q65" s="268"/>
      <c r="R65" s="268"/>
      <c r="S65" s="268"/>
      <c r="T65" s="268"/>
      <c r="U65" s="268"/>
      <c r="V65" s="268"/>
      <c r="W65" s="268"/>
      <c r="X65" s="268"/>
      <c r="Y65" s="268"/>
      <c r="Z65" s="268"/>
      <c r="AA65" s="268"/>
      <c r="AB65" s="268"/>
      <c r="AC65" s="268"/>
      <c r="AD65" s="268"/>
      <c r="AE65" s="268"/>
      <c r="AF65" s="269"/>
      <c r="AG65" s="6"/>
      <c r="AH65" s="6"/>
      <c r="AI65" s="5"/>
    </row>
    <row r="66" spans="1:35" ht="9.9499999999999993" hidden="1" customHeight="1">
      <c r="A66" s="5"/>
      <c r="B66" s="288"/>
      <c r="C66" s="289"/>
      <c r="D66" s="290"/>
      <c r="E66" s="199"/>
      <c r="F66" s="199"/>
      <c r="G66" s="199"/>
      <c r="H66" s="270"/>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2"/>
      <c r="AG66" s="6"/>
      <c r="AH66" s="6"/>
      <c r="AI66" s="5"/>
    </row>
    <row r="67" spans="1:35" ht="11.25" hidden="1">
      <c r="A67" s="5"/>
      <c r="B67" s="263" t="inlineStr">
        <is>
          <t>※本サービスを利用する法人がお客様と異なる場合に記載します。</t>
          <phoneticPr fontId="2"/>
        </is>
      </c>
      <c r="C67" s="264"/>
      <c r="D67" s="264"/>
      <c r="E67" s="264"/>
      <c r="F67" s="264"/>
      <c r="G67" s="264"/>
      <c r="H67" s="264"/>
      <c r="I67" s="264"/>
      <c r="J67" s="264"/>
      <c r="K67" s="264"/>
      <c r="L67" s="264"/>
      <c r="M67" s="264"/>
      <c r="N67" s="264"/>
      <c r="O67" s="264"/>
      <c r="P67" s="264"/>
      <c r="Q67" s="264"/>
      <c r="R67" s="264"/>
      <c r="S67" s="264"/>
      <c r="T67" s="264"/>
      <c r="U67" s="264"/>
      <c r="V67" s="264"/>
      <c r="W67" s="264"/>
      <c r="X67" s="264"/>
      <c r="Y67" s="264"/>
      <c r="Z67" s="264"/>
      <c r="AA67" s="264"/>
      <c r="AB67" s="264"/>
      <c r="AC67" s="264"/>
      <c r="AD67" s="264"/>
      <c r="AE67" s="264"/>
      <c r="AF67" s="264"/>
      <c r="AG67" s="6"/>
      <c r="AH67" s="34"/>
    </row>
    <row r="68" spans="1:35" ht="6" hidden="1" customHeight="1">
      <c r="A68" s="5"/>
      <c r="B68" s="43"/>
      <c r="C68" s="43"/>
      <c r="D68" s="43"/>
      <c r="E68" s="43"/>
      <c r="F68" s="43"/>
      <c r="G68" s="43"/>
      <c r="H68" s="2"/>
      <c r="I68" s="2"/>
      <c r="J68" s="2"/>
      <c r="K68" s="2"/>
      <c r="L68" s="2"/>
      <c r="M68" s="2"/>
      <c r="N68" s="2"/>
      <c r="O68" s="2"/>
      <c r="P68" s="2"/>
      <c r="Q68" s="2"/>
      <c r="R68" s="2"/>
      <c r="S68" s="2"/>
      <c r="T68" s="2"/>
      <c r="U68" s="2"/>
      <c r="V68" s="2"/>
      <c r="W68" s="2"/>
      <c r="X68" s="2"/>
      <c r="Y68" s="2"/>
      <c r="Z68" s="2"/>
      <c r="AA68" s="2"/>
      <c r="AB68" s="2"/>
      <c r="AC68" s="2"/>
      <c r="AD68" s="2"/>
      <c r="AE68" s="2"/>
      <c r="AF68" s="2"/>
      <c r="AG68" s="6"/>
      <c r="AH68" s="34"/>
    </row>
    <row r="69" spans="1:35" ht="13.5" customHeight="1">
      <c r="A69" s="5"/>
      <c r="B69" s="149" t="s">
        <v>118</v>
      </c>
      <c r="C69" s="149"/>
      <c r="D69" s="149"/>
      <c r="E69" s="149"/>
      <c r="F69" s="149"/>
      <c r="G69" s="149"/>
      <c r="H69" s="2"/>
      <c r="I69" s="2"/>
      <c r="J69" s="2"/>
      <c r="K69" s="2"/>
      <c r="L69" s="2"/>
      <c r="M69" s="2"/>
      <c r="N69" s="2"/>
      <c r="O69" s="2"/>
      <c r="P69" s="2"/>
      <c r="Q69" s="2"/>
      <c r="R69" s="2"/>
      <c r="S69" s="2"/>
      <c r="T69" s="2"/>
      <c r="U69" s="2"/>
      <c r="V69" s="2"/>
      <c r="W69" s="2"/>
      <c r="X69" s="2"/>
      <c r="Y69" s="2"/>
      <c r="Z69" s="2"/>
      <c r="AA69" s="2"/>
      <c r="AB69" s="2"/>
      <c r="AC69" s="2"/>
      <c r="AD69" s="2"/>
      <c r="AE69" s="2"/>
      <c r="AF69" s="2"/>
      <c r="AG69" s="6"/>
      <c r="AH69" s="34"/>
    </row>
    <row r="70" spans="1:35" s="9" customFormat="1" ht="11.25" customHeight="1">
      <c r="A70" s="7"/>
      <c r="B70" s="10" t="s">
        <v>19</v>
      </c>
      <c r="C70" s="138" t="str">
        <f>見積書!C60</f>
        <v>月額料金の請求開始日は、サービス開始日の属する月の１日とします。</v>
      </c>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139"/>
      <c r="AB70" s="139"/>
      <c r="AC70" s="139"/>
      <c r="AD70" s="139"/>
      <c r="AE70" s="139"/>
      <c r="AF70" s="140"/>
      <c r="AG70" s="8"/>
      <c r="AH70" s="35"/>
      <c r="AI70" s="40"/>
    </row>
    <row r="71" spans="1:35" s="9" customFormat="1" ht="11.25" customHeight="1">
      <c r="A71" s="7"/>
      <c r="B71" s="11" t="s">
        <v>19</v>
      </c>
      <c r="C71" s="141" t="str">
        <f>見積書!C61</f>
        <v>サービス終了月の月額料金については、その日数の長短にかかわらず、１か月分全額お支払いいただきます。</v>
      </c>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42"/>
      <c r="AG71" s="8"/>
      <c r="AH71" s="35"/>
      <c r="AI71" s="40"/>
    </row>
    <row r="72" spans="1:35" s="9" customFormat="1" ht="11.25" customHeight="1">
      <c r="A72" s="7"/>
      <c r="B72" s="11" t="s">
        <v>19</v>
      </c>
      <c r="C72" s="141" t="str">
        <f>見積書!C62</f>
        <v>詳細は、「あんしん電話当番サービス サービス記述書」に定めます。</v>
      </c>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c r="AD72" s="131"/>
      <c r="AE72" s="131"/>
      <c r="AF72" s="142"/>
      <c r="AG72" s="8"/>
      <c r="AH72" s="35"/>
      <c r="AI72" s="40"/>
    </row>
    <row r="73" spans="1:35" s="9" customFormat="1" ht="11.25" customHeight="1">
      <c r="A73" s="7"/>
      <c r="B73" s="295" t="str">
        <f>IF(見積書!B65="","",見積書!B65)</f>
        <v>〇</v>
      </c>
      <c r="C73" s="292" t="str">
        <f>IF(見積書!C65="","",見積書!C65)</f>
        <v>口座振替の振替日が10日の場合、支払時期は「請求期間開始後2か月以内」になります。
また、振替日が20日で1月など月初に土日祝日が連続する場合、当月分の支払時期は「請求期間開始後2か月以内」になる場合があります。</v>
      </c>
      <c r="D73" s="293"/>
      <c r="E73" s="293"/>
      <c r="F73" s="293"/>
      <c r="G73" s="293"/>
      <c r="H73" s="293"/>
      <c r="I73" s="293"/>
      <c r="J73" s="293"/>
      <c r="K73" s="293"/>
      <c r="L73" s="293"/>
      <c r="M73" s="293"/>
      <c r="N73" s="293"/>
      <c r="O73" s="293"/>
      <c r="P73" s="293"/>
      <c r="Q73" s="293"/>
      <c r="R73" s="293"/>
      <c r="S73" s="293"/>
      <c r="T73" s="293"/>
      <c r="U73" s="293"/>
      <c r="V73" s="293"/>
      <c r="W73" s="293"/>
      <c r="X73" s="293"/>
      <c r="Y73" s="293"/>
      <c r="Z73" s="293"/>
      <c r="AA73" s="293"/>
      <c r="AB73" s="293"/>
      <c r="AC73" s="293"/>
      <c r="AD73" s="293"/>
      <c r="AE73" s="293"/>
      <c r="AF73" s="294"/>
      <c r="AG73" s="8"/>
      <c r="AH73" s="35"/>
      <c r="AI73" s="40"/>
    </row>
    <row r="74" spans="1:35" s="9" customFormat="1" ht="11.25" customHeight="1">
      <c r="A74" s="7"/>
      <c r="B74" s="296"/>
      <c r="C74" s="293"/>
      <c r="D74" s="293"/>
      <c r="E74" s="293"/>
      <c r="F74" s="293"/>
      <c r="G74" s="293"/>
      <c r="H74" s="293"/>
      <c r="I74" s="293"/>
      <c r="J74" s="293"/>
      <c r="K74" s="293"/>
      <c r="L74" s="293"/>
      <c r="M74" s="293"/>
      <c r="N74" s="293"/>
      <c r="O74" s="293"/>
      <c r="P74" s="293"/>
      <c r="Q74" s="293"/>
      <c r="R74" s="293"/>
      <c r="S74" s="293"/>
      <c r="T74" s="293"/>
      <c r="U74" s="293"/>
      <c r="V74" s="293"/>
      <c r="W74" s="293"/>
      <c r="X74" s="293"/>
      <c r="Y74" s="293"/>
      <c r="Z74" s="293"/>
      <c r="AA74" s="293"/>
      <c r="AB74" s="293"/>
      <c r="AC74" s="293"/>
      <c r="AD74" s="293"/>
      <c r="AE74" s="293"/>
      <c r="AF74" s="294"/>
      <c r="AG74" s="8"/>
      <c r="AH74" s="35"/>
      <c r="AI74" s="40"/>
    </row>
    <row r="75" spans="1:35" s="9" customFormat="1" ht="11.25" customHeight="1">
      <c r="A75" s="7"/>
      <c r="B75" s="11"/>
      <c r="C75" s="141"/>
      <c r="D75" s="131"/>
      <c r="E75" s="131"/>
      <c r="F75" s="131"/>
      <c r="G75" s="131"/>
      <c r="H75" s="131"/>
      <c r="I75" s="131"/>
      <c r="J75" s="131"/>
      <c r="K75" s="131"/>
      <c r="L75" s="131"/>
      <c r="M75" s="131"/>
      <c r="N75" s="131"/>
      <c r="O75" s="131"/>
      <c r="P75" s="131"/>
      <c r="Q75" s="131"/>
      <c r="R75" s="131"/>
      <c r="S75" s="131"/>
      <c r="T75" s="131"/>
      <c r="U75" s="131"/>
      <c r="V75" s="131"/>
      <c r="W75" s="131"/>
      <c r="X75" s="131"/>
      <c r="Y75" s="131"/>
      <c r="Z75" s="131"/>
      <c r="AA75" s="131"/>
      <c r="AB75" s="131"/>
      <c r="AC75" s="131"/>
      <c r="AD75" s="131"/>
      <c r="AE75" s="131"/>
      <c r="AF75" s="142"/>
      <c r="AG75" s="8"/>
      <c r="AH75" s="35"/>
      <c r="AI75" s="40"/>
    </row>
    <row r="76" spans="1:35" s="9" customFormat="1" ht="11.25" customHeight="1">
      <c r="A76" s="7"/>
      <c r="B76" s="12"/>
      <c r="C76" s="274"/>
      <c r="D76" s="275"/>
      <c r="E76" s="275"/>
      <c r="F76" s="275"/>
      <c r="G76" s="275"/>
      <c r="H76" s="275"/>
      <c r="I76" s="275"/>
      <c r="J76" s="275"/>
      <c r="K76" s="275"/>
      <c r="L76" s="275"/>
      <c r="M76" s="275"/>
      <c r="N76" s="275"/>
      <c r="O76" s="275"/>
      <c r="P76" s="275"/>
      <c r="Q76" s="275"/>
      <c r="R76" s="275"/>
      <c r="S76" s="275"/>
      <c r="T76" s="275"/>
      <c r="U76" s="275"/>
      <c r="V76" s="275"/>
      <c r="W76" s="275"/>
      <c r="X76" s="275"/>
      <c r="Y76" s="275"/>
      <c r="Z76" s="275"/>
      <c r="AA76" s="275"/>
      <c r="AB76" s="275"/>
      <c r="AC76" s="275"/>
      <c r="AD76" s="275"/>
      <c r="AE76" s="275"/>
      <c r="AF76" s="276"/>
      <c r="AG76" s="8"/>
      <c r="AH76" s="35"/>
      <c r="AI76" s="40"/>
    </row>
    <row r="77" spans="1:35" s="9" customFormat="1" ht="6" customHeight="1">
      <c r="A77" s="7"/>
      <c r="AG77" s="8"/>
      <c r="AH77" s="35"/>
      <c r="AI77" s="40"/>
    </row>
    <row r="78" spans="1:35" ht="11.25" customHeight="1">
      <c r="A78" s="5"/>
      <c r="B78" s="133" t="s">
        <v>24</v>
      </c>
      <c r="C78" s="134"/>
      <c r="D78" s="134"/>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F78" s="31" t="str">
        <f>IF(AND(見積書!S3&lt;&gt;"",見積書!U3&lt;&gt;""),CONCATENATE(見積書!S3,見積書!T3,見積書!U3),"")</f>
        <v/>
      </c>
      <c r="AG78" s="6"/>
      <c r="AH78" s="34"/>
    </row>
    <row r="79" spans="1:35" ht="13.5" customHeight="1">
      <c r="A79" s="5"/>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34"/>
    </row>
    <row r="80" spans="1:35" ht="13.5" hidden="1" customHeight="1">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6"/>
      <c r="AH80" s="34"/>
    </row>
    <row r="81" spans="1:38" ht="13.5" hidden="1" customHeight="1">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6"/>
      <c r="AH81" s="34"/>
    </row>
    <row r="82" spans="1:38" ht="13.5" hidden="1" customHeight="1">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6"/>
      <c r="AH82" s="34"/>
    </row>
    <row r="83" spans="1:38" s="32" customFormat="1" ht="13.5" hidden="1" customHeight="1">
      <c r="A83" s="1"/>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6"/>
      <c r="AH83" s="34"/>
      <c r="AI83" s="28"/>
      <c r="AJ83" s="1"/>
      <c r="AK83" s="1"/>
      <c r="AL83" s="1"/>
    </row>
    <row r="84" spans="1:38" s="32" customFormat="1" ht="13.5" hidden="1" customHeight="1">
      <c r="A84" s="1"/>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6"/>
      <c r="AH84" s="34"/>
      <c r="AI84" s="28"/>
      <c r="AJ84" s="1"/>
      <c r="AK84" s="1"/>
      <c r="AL84" s="1"/>
    </row>
    <row r="85" spans="1:38" s="32" customFormat="1" ht="13.5" hidden="1" customHeight="1">
      <c r="A85" s="1"/>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6"/>
      <c r="AH85" s="34"/>
      <c r="AI85" s="28"/>
      <c r="AJ85" s="1"/>
      <c r="AK85" s="1"/>
      <c r="AL85" s="1"/>
    </row>
    <row r="86" spans="1:38" s="32" customFormat="1" ht="13.5" hidden="1" customHeight="1">
      <c r="A86" s="1"/>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6"/>
      <c r="AH86" s="34"/>
      <c r="AI86" s="28"/>
      <c r="AJ86" s="1"/>
      <c r="AK86" s="1"/>
      <c r="AL86" s="1"/>
    </row>
    <row r="87" spans="1:38" s="32" customFormat="1" ht="13.5" hidden="1" customHeight="1">
      <c r="A87" s="1"/>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6"/>
      <c r="AH87" s="34"/>
      <c r="AI87" s="28"/>
      <c r="AJ87" s="1"/>
      <c r="AK87" s="1"/>
      <c r="AL87" s="1"/>
    </row>
    <row r="88" spans="1:38" s="32" customFormat="1" ht="13.5" hidden="1" customHeight="1">
      <c r="A88" s="1"/>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6"/>
      <c r="AH88" s="34"/>
      <c r="AI88" s="28"/>
      <c r="AJ88" s="1"/>
      <c r="AK88" s="1"/>
      <c r="AL88" s="1"/>
    </row>
    <row r="89" spans="1:38" ht="13.5" hidden="1" customHeight="1"/>
    <row r="90" spans="1:38" ht="13.5" hidden="1" customHeight="1"/>
    <row r="91" spans="1:38" ht="13.5" hidden="1" customHeight="1"/>
    <row r="92" spans="1:38" ht="13.5" hidden="1" customHeight="1"/>
    <row r="93" spans="1:38" ht="13.5" hidden="1" customHeight="1"/>
    <row r="94" spans="1:38" ht="13.5" hidden="1" customHeight="1"/>
    <row r="95" spans="1:38" ht="13.5" hidden="1" customHeight="1"/>
    <row r="96" spans="1:38" ht="13.5" hidden="1" customHeight="1"/>
    <row r="97" ht="13.5" hidden="1" customHeight="1"/>
    <row r="98" ht="13.5" hidden="1" customHeight="1"/>
    <row r="99" ht="13.5" hidden="1" customHeight="1"/>
    <row r="100" ht="13.5" hidden="1" customHeight="1"/>
    <row r="101" ht="13.5" hidden="1" customHeight="1"/>
    <row r="102" ht="13.5" hidden="1" customHeight="1"/>
    <row r="103" ht="13.5" hidden="1" customHeight="1"/>
    <row r="104" ht="13.5" hidden="1" customHeight="1"/>
    <row r="105" ht="13.5" hidden="1" customHeight="1"/>
    <row r="106" ht="13.5" hidden="1" customHeight="1"/>
    <row r="107" ht="13.5" hidden="1" customHeight="1"/>
    <row r="108" ht="13.5" hidden="1" customHeight="1"/>
    <row r="109" ht="13.5" hidden="1" customHeight="1"/>
    <row r="110" ht="13.5" hidden="1" customHeight="1"/>
    <row r="111" ht="13.5" hidden="1" customHeight="1"/>
    <row r="112" ht="13.5" hidden="1" customHeight="1"/>
    <row r="113" ht="13.5" hidden="1" customHeight="1"/>
    <row r="114" ht="13.5" hidden="1" customHeight="1"/>
    <row r="115" ht="13.5" hidden="1" customHeight="1"/>
  </sheetData>
  <sheetProtection algorithmName="SHA-512" hashValue="BR1XLCYClEHAGN6vuusuatWW9zQEUVKKjLKkYOtTPEDjyn9gQwHEQIQFfWV2nVVIv/IYitXpx/JKAXEiRU+UEw==" saltValue="lArXsLMY43va6kVqkx4beg==" spinCount="100000" sheet="1" objects="1" scenarios="1"/>
  <mergeCells count="180">
    <mergeCell ref="H55:O55"/>
    <mergeCell ref="P55:U55"/>
    <mergeCell ref="V55:Y55"/>
    <mergeCell ref="Z55:AA55"/>
    <mergeCell ref="AB55:AF55"/>
    <mergeCell ref="B54:G54"/>
    <mergeCell ref="H54:O54"/>
    <mergeCell ref="C75:AF75"/>
    <mergeCell ref="P54:U54"/>
    <mergeCell ref="V54:Y54"/>
    <mergeCell ref="Z54:AA54"/>
    <mergeCell ref="AB54:AF54"/>
    <mergeCell ref="C73:AF74"/>
    <mergeCell ref="B73:B74"/>
    <mergeCell ref="C76:AF76"/>
    <mergeCell ref="H63:AF64"/>
    <mergeCell ref="O62:AF62"/>
    <mergeCell ref="I58:K58"/>
    <mergeCell ref="M58:N58"/>
    <mergeCell ref="B58:G58"/>
    <mergeCell ref="B62:D66"/>
    <mergeCell ref="E62:G64"/>
    <mergeCell ref="K62:L62"/>
    <mergeCell ref="M62:N62"/>
    <mergeCell ref="B78:D78"/>
    <mergeCell ref="B6:Q7"/>
    <mergeCell ref="Z7:AA7"/>
    <mergeCell ref="B8:C16"/>
    <mergeCell ref="D8:F10"/>
    <mergeCell ref="J8:K8"/>
    <mergeCell ref="L8:M8"/>
    <mergeCell ref="B67:AF67"/>
    <mergeCell ref="B69:G69"/>
    <mergeCell ref="C70:AF70"/>
    <mergeCell ref="C71:AF71"/>
    <mergeCell ref="C72:AF72"/>
    <mergeCell ref="B56:AA56"/>
    <mergeCell ref="AB56:AF56"/>
    <mergeCell ref="B59:G60"/>
    <mergeCell ref="H59:AF60"/>
    <mergeCell ref="P58:Q58"/>
    <mergeCell ref="E65:G66"/>
    <mergeCell ref="H65:AF66"/>
    <mergeCell ref="B55:G55"/>
    <mergeCell ref="B25:Q26"/>
    <mergeCell ref="H27:Q27"/>
    <mergeCell ref="H28:Q28"/>
    <mergeCell ref="B53:G53"/>
    <mergeCell ref="H53:O53"/>
    <mergeCell ref="P53:U53"/>
    <mergeCell ref="V53:Y53"/>
    <mergeCell ref="Z53:AA53"/>
    <mergeCell ref="AB53:AF53"/>
    <mergeCell ref="B52:G52"/>
    <mergeCell ref="H52:O52"/>
    <mergeCell ref="P52:U52"/>
    <mergeCell ref="V52:Y52"/>
    <mergeCell ref="Z52:AA52"/>
    <mergeCell ref="AB52:AF52"/>
    <mergeCell ref="B51:G51"/>
    <mergeCell ref="H51:O51"/>
    <mergeCell ref="P51:U51"/>
    <mergeCell ref="V51:Y51"/>
    <mergeCell ref="Z51:AA51"/>
    <mergeCell ref="AB51:AF51"/>
    <mergeCell ref="B50:G50"/>
    <mergeCell ref="H50:O50"/>
    <mergeCell ref="P50:U50"/>
    <mergeCell ref="V50:Y50"/>
    <mergeCell ref="Z50:AA50"/>
    <mergeCell ref="AB50:AF50"/>
    <mergeCell ref="B49:G49"/>
    <mergeCell ref="H49:O49"/>
    <mergeCell ref="P49:U49"/>
    <mergeCell ref="V49:Y49"/>
    <mergeCell ref="Z49:AA49"/>
    <mergeCell ref="AB49:AF49"/>
    <mergeCell ref="B48:G48"/>
    <mergeCell ref="H48:O48"/>
    <mergeCell ref="P48:U48"/>
    <mergeCell ref="V48:Y48"/>
    <mergeCell ref="Z48:AA48"/>
    <mergeCell ref="AB48:AF48"/>
    <mergeCell ref="B47:G47"/>
    <mergeCell ref="H47:O47"/>
    <mergeCell ref="P47:U47"/>
    <mergeCell ref="V47:Y47"/>
    <mergeCell ref="Z47:AA47"/>
    <mergeCell ref="AB47:AF47"/>
    <mergeCell ref="B46:G46"/>
    <mergeCell ref="H46:O46"/>
    <mergeCell ref="P46:U46"/>
    <mergeCell ref="V46:Y46"/>
    <mergeCell ref="Z46:AA46"/>
    <mergeCell ref="AB46:AF46"/>
    <mergeCell ref="B45:G45"/>
    <mergeCell ref="H45:O45"/>
    <mergeCell ref="P45:U45"/>
    <mergeCell ref="V45:Y45"/>
    <mergeCell ref="Z45:AA45"/>
    <mergeCell ref="AB45:AF45"/>
    <mergeCell ref="B44:G44"/>
    <mergeCell ref="H44:O44"/>
    <mergeCell ref="P44:U44"/>
    <mergeCell ref="V44:Y44"/>
    <mergeCell ref="Z44:AA44"/>
    <mergeCell ref="AB44:AF44"/>
    <mergeCell ref="B43:G43"/>
    <mergeCell ref="H43:O43"/>
    <mergeCell ref="P43:U43"/>
    <mergeCell ref="V43:Y43"/>
    <mergeCell ref="Z43:AA43"/>
    <mergeCell ref="AB43:AF43"/>
    <mergeCell ref="AB41:AF41"/>
    <mergeCell ref="B42:G42"/>
    <mergeCell ref="H42:O42"/>
    <mergeCell ref="P42:U42"/>
    <mergeCell ref="V42:Y42"/>
    <mergeCell ref="Z42:AA42"/>
    <mergeCell ref="AB42:AF42"/>
    <mergeCell ref="B40:G40"/>
    <mergeCell ref="H40:U40"/>
    <mergeCell ref="V40:Y40"/>
    <mergeCell ref="Z40:AA40"/>
    <mergeCell ref="AB40:AF40"/>
    <mergeCell ref="B41:G41"/>
    <mergeCell ref="H41:O41"/>
    <mergeCell ref="P41:U41"/>
    <mergeCell ref="V41:Y41"/>
    <mergeCell ref="Z41:AA41"/>
    <mergeCell ref="B37:U37"/>
    <mergeCell ref="V37:Y37"/>
    <mergeCell ref="Z37:AA37"/>
    <mergeCell ref="AB37:AF37"/>
    <mergeCell ref="B38:AA38"/>
    <mergeCell ref="AB38:AF38"/>
    <mergeCell ref="B35:U35"/>
    <mergeCell ref="V35:Y35"/>
    <mergeCell ref="Z35:AA35"/>
    <mergeCell ref="AB35:AF35"/>
    <mergeCell ref="B36:U36"/>
    <mergeCell ref="V36:Y36"/>
    <mergeCell ref="Z36:AA36"/>
    <mergeCell ref="AB36:AF36"/>
    <mergeCell ref="B30:AF30"/>
    <mergeCell ref="B31:AF31"/>
    <mergeCell ref="B33:G33"/>
    <mergeCell ref="B34:G34"/>
    <mergeCell ref="H34:U34"/>
    <mergeCell ref="V34:Y34"/>
    <mergeCell ref="Z34:AA34"/>
    <mergeCell ref="AB34:AF34"/>
    <mergeCell ref="B28:G28"/>
    <mergeCell ref="R28:Y28"/>
    <mergeCell ref="Z28:AB28"/>
    <mergeCell ref="AC28:AF28"/>
    <mergeCell ref="B29:AF29"/>
    <mergeCell ref="N8:AF8"/>
    <mergeCell ref="G9:AF10"/>
    <mergeCell ref="D11:F13"/>
    <mergeCell ref="G11:H11"/>
    <mergeCell ref="B4:AF5"/>
    <mergeCell ref="W7:Y7"/>
    <mergeCell ref="R25:AF25"/>
    <mergeCell ref="R26:Y26"/>
    <mergeCell ref="Z26:AF26"/>
    <mergeCell ref="AC12:AF16"/>
    <mergeCell ref="D14:H16"/>
    <mergeCell ref="I14:AB16"/>
    <mergeCell ref="B27:G27"/>
    <mergeCell ref="R27:Y27"/>
    <mergeCell ref="Z27:AF27"/>
    <mergeCell ref="B22:Q22"/>
    <mergeCell ref="R22:AF22"/>
    <mergeCell ref="B23:Q23"/>
    <mergeCell ref="R23:AF23"/>
    <mergeCell ref="J11:AB11"/>
    <mergeCell ref="AC11:AF11"/>
    <mergeCell ref="G12:AB13"/>
    <mergeCell ref="I17:AF18"/>
  </mergeCells>
  <phoneticPr fontId="2"/>
  <printOptions horizontalCentered="1" verticalCentered="1"/>
  <pageMargins left="0.70866141732283472" right="0.31496062992125984" top="0.35433070866141736" bottom="0.15748031496062992" header="0.31496062992125984" footer="0.31496062992125984"/>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L130"/>
  <sheetViews>
    <sheetView showGridLines="0" showRowColHeaders="0" zoomScaleNormal="100" workbookViewId="0">
      <selection activeCell="W12" sqref="W12:AF12"/>
    </sheetView>
  </sheetViews>
  <sheetFormatPr defaultColWidth="0" defaultRowHeight="13.5" customHeight="1" zeroHeight="1"/>
  <cols>
    <col min="1" max="32" width="3" style="1" customWidth="1"/>
    <col min="33" max="33" width="3" style="5" customWidth="1"/>
    <col min="34" max="35" width="3" style="28" customWidth="1"/>
    <col min="36" max="36" width="7.375" style="1" hidden="1" customWidth="1"/>
    <col min="37" max="37" width="15.125" style="1" hidden="1" customWidth="1"/>
    <col min="38" max="38" width="8.5" style="1" hidden="1" customWidth="1"/>
    <col min="39" max="16384" width="3" style="1" hidden="1"/>
  </cols>
  <sheetData>
    <row r="1" spans="1:34" ht="25.5" customHeight="1">
      <c r="A1" s="5"/>
      <c r="B1" s="36" t="s">
        <v>132</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row>
    <row r="2" spans="1:34" ht="13.5" customHeight="1">
      <c r="A2" s="5"/>
      <c r="B2" s="55"/>
      <c r="C2" s="5"/>
      <c r="D2" s="5"/>
      <c r="E2" s="5"/>
      <c r="F2" s="5"/>
      <c r="G2" s="5"/>
      <c r="H2" s="5"/>
      <c r="I2" s="5"/>
      <c r="J2" s="5"/>
      <c r="K2" s="5"/>
      <c r="L2" s="5"/>
      <c r="M2" s="5"/>
      <c r="N2" s="5"/>
      <c r="O2" s="5"/>
      <c r="P2" s="5"/>
      <c r="Q2" s="5"/>
      <c r="R2" s="5"/>
      <c r="S2" s="5"/>
      <c r="T2" s="5"/>
      <c r="U2" s="5"/>
      <c r="V2" s="5"/>
      <c r="W2" s="5"/>
      <c r="X2" s="5"/>
      <c r="Y2" s="5"/>
      <c r="Z2" s="5"/>
      <c r="AA2" s="5"/>
      <c r="AB2" s="5"/>
      <c r="AC2" s="5"/>
      <c r="AD2" s="5"/>
      <c r="AE2" s="5"/>
      <c r="AF2" s="5"/>
    </row>
    <row r="3" spans="1:34" ht="9.75"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row>
    <row r="4" spans="1:34" ht="9.9499999999999993" customHeight="1">
      <c r="A4" s="5"/>
      <c r="B4" s="187" t="s">
        <v>133</v>
      </c>
      <c r="C4" s="188"/>
      <c r="D4" s="188"/>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6"/>
      <c r="AH4" s="34"/>
    </row>
    <row r="5" spans="1:34" ht="9.9499999999999993" customHeight="1">
      <c r="A5" s="5"/>
      <c r="B5" s="188"/>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6"/>
      <c r="AH5" s="34"/>
    </row>
    <row r="6" spans="1:34" ht="9.9499999999999993" customHeight="1">
      <c r="A6" s="5"/>
      <c r="B6" s="2"/>
      <c r="C6" s="2"/>
      <c r="D6" s="2"/>
      <c r="E6" s="2"/>
      <c r="F6" s="2"/>
      <c r="G6" s="2"/>
      <c r="H6" s="2"/>
      <c r="I6" s="2"/>
      <c r="J6" s="2"/>
      <c r="K6" s="2"/>
      <c r="L6" s="2"/>
      <c r="M6" s="2"/>
      <c r="N6" s="2"/>
      <c r="O6" s="2"/>
      <c r="P6" s="2"/>
      <c r="Q6" s="2"/>
      <c r="R6" s="2"/>
      <c r="S6" s="2"/>
      <c r="T6" s="2"/>
      <c r="U6" s="2"/>
      <c r="V6" s="2"/>
      <c r="W6" s="2"/>
      <c r="AG6" s="6"/>
      <c r="AH6" s="34"/>
    </row>
    <row r="7" spans="1:34" ht="9.9499999999999993" customHeight="1">
      <c r="A7" s="5"/>
      <c r="B7" s="2"/>
      <c r="C7" s="2"/>
      <c r="D7" s="2"/>
      <c r="E7" s="2"/>
      <c r="F7" s="2"/>
      <c r="G7" s="2"/>
      <c r="H7" s="2"/>
      <c r="I7" s="2"/>
      <c r="J7" s="2"/>
      <c r="K7" s="2"/>
      <c r="L7" s="2"/>
      <c r="M7" s="2"/>
      <c r="N7" s="2"/>
      <c r="O7" s="2"/>
      <c r="P7" s="2"/>
      <c r="Q7" s="2"/>
      <c r="R7" s="2"/>
      <c r="S7" s="2"/>
      <c r="T7" s="2"/>
      <c r="U7" s="2"/>
      <c r="V7" s="2"/>
      <c r="W7" s="2"/>
      <c r="X7" s="297" t="s">
        <v>138</v>
      </c>
      <c r="Y7" s="298"/>
      <c r="Z7" s="298"/>
      <c r="AA7" s="298"/>
      <c r="AB7" s="4" t="s">
        <v>50</v>
      </c>
      <c r="AC7" s="189">
        <f ca="1">TODAY()</f>
        <v>43641</v>
      </c>
      <c r="AD7" s="189"/>
      <c r="AE7" s="189"/>
      <c r="AF7" s="189"/>
      <c r="AG7" s="6"/>
      <c r="AH7" s="34"/>
    </row>
    <row r="8" spans="1:34" ht="9.9499999999999993" customHeight="1">
      <c r="A8" s="5"/>
      <c r="B8" s="2"/>
      <c r="C8" s="2"/>
      <c r="D8" s="2"/>
      <c r="E8" s="2"/>
      <c r="F8" s="2"/>
      <c r="G8" s="2"/>
      <c r="H8" s="2"/>
      <c r="I8" s="2"/>
      <c r="J8" s="2"/>
      <c r="K8" s="2"/>
      <c r="L8" s="2"/>
      <c r="M8" s="2"/>
      <c r="N8" s="2"/>
      <c r="O8" s="2"/>
      <c r="P8" s="2"/>
      <c r="Q8" s="2"/>
      <c r="R8" s="2"/>
      <c r="S8" s="2"/>
      <c r="T8" s="2"/>
      <c r="U8" s="2"/>
      <c r="V8" s="2"/>
      <c r="W8" s="2"/>
      <c r="X8" s="61"/>
      <c r="Y8" s="62"/>
      <c r="Z8" s="62"/>
      <c r="AA8" s="62"/>
      <c r="AB8" s="4"/>
      <c r="AC8" s="47"/>
      <c r="AD8" s="47"/>
      <c r="AE8" s="47"/>
      <c r="AF8" s="47"/>
      <c r="AG8" s="6"/>
      <c r="AH8" s="34"/>
    </row>
    <row r="9" spans="1:34" ht="13.5" customHeight="1">
      <c r="A9" s="5"/>
      <c r="B9" s="185" t="str">
        <f>見積書!B9</f>
        <v>●●株式会社　御中</v>
      </c>
      <c r="C9" s="186"/>
      <c r="D9" s="186"/>
      <c r="E9" s="186"/>
      <c r="F9" s="186"/>
      <c r="G9" s="186"/>
      <c r="H9" s="186"/>
      <c r="I9" s="186"/>
      <c r="J9" s="186"/>
      <c r="K9" s="186"/>
      <c r="L9" s="186"/>
      <c r="M9" s="186"/>
      <c r="N9" s="186"/>
      <c r="O9" s="186"/>
      <c r="P9" s="186"/>
      <c r="Q9" s="186"/>
      <c r="R9" s="186"/>
      <c r="S9" s="186"/>
      <c r="T9" s="186"/>
      <c r="U9" s="186"/>
      <c r="V9" s="186"/>
      <c r="W9" s="186"/>
      <c r="X9" s="186"/>
      <c r="Y9" s="186"/>
      <c r="Z9" s="186"/>
      <c r="AA9" s="186"/>
      <c r="AB9" s="186"/>
      <c r="AC9" s="186"/>
      <c r="AD9" s="186"/>
      <c r="AE9" s="186"/>
      <c r="AF9" s="186"/>
      <c r="AG9" s="6"/>
      <c r="AH9" s="34"/>
    </row>
    <row r="10" spans="1:34" ht="13.5" customHeight="1">
      <c r="A10" s="5"/>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6"/>
      <c r="AH10" s="34"/>
    </row>
    <row r="11" spans="1:34" ht="11.25" customHeight="1">
      <c r="A11" s="5"/>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6"/>
      <c r="AH11" s="34"/>
    </row>
    <row r="12" spans="1:34" ht="13.5" customHeight="1">
      <c r="A12" s="5"/>
      <c r="B12" s="2"/>
      <c r="C12" s="2"/>
      <c r="D12" s="2"/>
      <c r="E12" s="2"/>
      <c r="F12" s="2"/>
      <c r="G12" s="2"/>
      <c r="H12" s="2"/>
      <c r="I12" s="2"/>
      <c r="J12" s="2"/>
      <c r="K12" s="2"/>
      <c r="L12" s="2"/>
      <c r="M12" s="2"/>
      <c r="N12" s="2"/>
      <c r="O12" s="2"/>
      <c r="P12" s="2"/>
      <c r="Q12" s="2"/>
      <c r="R12" s="2"/>
      <c r="S12" s="2"/>
      <c r="T12" s="2"/>
      <c r="U12" s="2"/>
      <c r="V12" s="2"/>
      <c r="W12" s="305" t="s">
        <v>136</v>
      </c>
      <c r="X12" s="278"/>
      <c r="Y12" s="278"/>
      <c r="Z12" s="278"/>
      <c r="AA12" s="278"/>
      <c r="AB12" s="278"/>
      <c r="AC12" s="278"/>
      <c r="AD12" s="278"/>
      <c r="AE12" s="278"/>
      <c r="AF12" s="278"/>
      <c r="AG12" s="6"/>
      <c r="AH12" s="34"/>
    </row>
    <row r="13" spans="1:34" ht="17.25" customHeight="1">
      <c r="A13" s="5"/>
      <c r="B13" s="2"/>
      <c r="C13" s="2"/>
      <c r="D13" s="2"/>
      <c r="E13" s="2"/>
      <c r="F13" s="2"/>
      <c r="G13" s="2"/>
      <c r="H13" s="2"/>
      <c r="I13" s="2"/>
      <c r="J13" s="2"/>
      <c r="K13" s="2"/>
      <c r="L13" s="2"/>
      <c r="M13" s="2"/>
      <c r="N13" s="2"/>
      <c r="O13" s="2"/>
      <c r="P13" s="2"/>
      <c r="Q13" s="2"/>
      <c r="R13" s="2"/>
      <c r="S13" s="2"/>
      <c r="T13" s="2"/>
      <c r="U13" s="2"/>
      <c r="V13" s="2"/>
      <c r="W13" s="306" t="str">
        <f>見積書!Y11</f>
        <v>セコム株式会社</v>
      </c>
      <c r="X13" s="307"/>
      <c r="Y13" s="307"/>
      <c r="Z13" s="307"/>
      <c r="AA13" s="307"/>
      <c r="AB13" s="307"/>
      <c r="AC13" s="307"/>
      <c r="AD13" s="307"/>
      <c r="AE13" s="307"/>
      <c r="AF13" s="307"/>
      <c r="AG13" s="6"/>
      <c r="AH13" s="34"/>
    </row>
    <row r="14" spans="1:34" ht="13.5" customHeight="1">
      <c r="A14" s="5"/>
      <c r="B14" s="2"/>
      <c r="C14" s="2"/>
      <c r="D14" s="2"/>
      <c r="E14" s="2"/>
      <c r="F14" s="2"/>
      <c r="G14" s="2"/>
      <c r="H14" s="2"/>
      <c r="I14" s="2"/>
      <c r="J14" s="2"/>
      <c r="K14" s="2"/>
      <c r="L14" s="2"/>
      <c r="M14" s="2"/>
      <c r="N14" s="2"/>
      <c r="O14" s="2"/>
      <c r="P14" s="2"/>
      <c r="Q14" s="2"/>
      <c r="R14" s="2"/>
      <c r="S14" s="2"/>
      <c r="W14" s="305" t="s">
        <v>137</v>
      </c>
      <c r="X14" s="278"/>
      <c r="Y14" s="278"/>
      <c r="Z14" s="278"/>
      <c r="AA14" s="278"/>
      <c r="AB14" s="278"/>
      <c r="AC14" s="278"/>
      <c r="AD14" s="278"/>
      <c r="AE14" s="278"/>
      <c r="AF14" s="278"/>
      <c r="AG14" s="6"/>
      <c r="AH14" s="34"/>
    </row>
    <row r="15" spans="1:34" ht="13.5" customHeight="1">
      <c r="A15" s="5"/>
      <c r="B15" s="2"/>
      <c r="C15" s="2"/>
      <c r="D15" s="2"/>
      <c r="E15" s="2"/>
      <c r="F15" s="2"/>
      <c r="G15" s="2"/>
      <c r="H15" s="2"/>
      <c r="I15" s="2"/>
      <c r="J15" s="2"/>
      <c r="K15" s="2"/>
      <c r="L15" s="2"/>
      <c r="M15" s="2"/>
      <c r="N15" s="2"/>
      <c r="O15" s="2"/>
      <c r="P15" s="2"/>
      <c r="Q15" s="2"/>
      <c r="R15" s="2"/>
      <c r="S15" s="2"/>
      <c r="W15" s="59"/>
      <c r="X15" s="60"/>
      <c r="Y15" s="60"/>
      <c r="Z15" s="60"/>
      <c r="AA15" s="60"/>
      <c r="AB15" s="60"/>
      <c r="AC15" s="60"/>
      <c r="AD15" s="60"/>
      <c r="AE15" s="60"/>
      <c r="AF15" s="60"/>
      <c r="AG15" s="6"/>
      <c r="AH15" s="34"/>
    </row>
    <row r="16" spans="1:34" ht="13.5" customHeight="1">
      <c r="A16" s="5"/>
      <c r="B16" s="1" t="s">
        <v>134</v>
      </c>
      <c r="C16" s="2"/>
      <c r="D16" s="2"/>
      <c r="E16" s="2"/>
      <c r="F16" s="2"/>
      <c r="G16" s="2"/>
      <c r="H16" s="2"/>
      <c r="I16" s="2"/>
      <c r="J16" s="2"/>
      <c r="K16" s="2"/>
      <c r="AG16" s="6"/>
      <c r="AH16" s="34"/>
    </row>
    <row r="17" spans="1:34" ht="13.5" customHeight="1">
      <c r="A17" s="5"/>
      <c r="B17" s="300"/>
      <c r="C17" s="301"/>
      <c r="D17" s="2" t="s">
        <v>126</v>
      </c>
      <c r="E17" s="58"/>
      <c r="F17" s="2" t="s">
        <v>127</v>
      </c>
      <c r="G17" s="58"/>
      <c r="H17" s="2" t="s">
        <v>135</v>
      </c>
      <c r="I17" s="2"/>
      <c r="J17" s="2"/>
      <c r="K17" s="2"/>
      <c r="V17" s="108"/>
      <c r="W17" s="109"/>
      <c r="X17" s="21"/>
      <c r="Z17" s="2"/>
      <c r="AG17" s="6"/>
      <c r="AH17" s="34"/>
    </row>
    <row r="18" spans="1:34" ht="13.5" customHeight="1">
      <c r="A18" s="5"/>
      <c r="B18" s="2"/>
      <c r="C18" s="2"/>
      <c r="D18" s="2"/>
      <c r="E18" s="2"/>
      <c r="F18" s="2"/>
      <c r="G18" s="2"/>
      <c r="H18" s="2"/>
      <c r="I18" s="2"/>
      <c r="J18" s="2"/>
      <c r="K18" s="2"/>
      <c r="V18" s="108"/>
      <c r="W18" s="109"/>
      <c r="X18" s="21"/>
      <c r="Z18" s="2"/>
      <c r="AA18" s="2"/>
      <c r="AB18" s="2"/>
      <c r="AC18" s="2"/>
      <c r="AD18" s="2"/>
      <c r="AE18" s="2"/>
      <c r="AF18" s="2"/>
      <c r="AG18" s="6"/>
      <c r="AH18" s="34"/>
    </row>
    <row r="19" spans="1:34" ht="13.5" customHeight="1">
      <c r="A19" s="5"/>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6"/>
      <c r="AH19" s="34"/>
    </row>
    <row r="20" spans="1:34" ht="6" customHeight="1">
      <c r="A20" s="5"/>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6"/>
      <c r="AH20" s="34"/>
    </row>
    <row r="21" spans="1:34" ht="13.5" customHeight="1">
      <c r="A21" s="5"/>
      <c r="B21" s="116" t="s">
        <v>5</v>
      </c>
      <c r="C21" s="195"/>
      <c r="D21" s="195"/>
      <c r="E21" s="195"/>
      <c r="F21" s="195"/>
      <c r="G21" s="195"/>
      <c r="H21" s="195"/>
      <c r="I21" s="195"/>
      <c r="J21" s="195"/>
      <c r="K21" s="195"/>
      <c r="L21" s="195"/>
      <c r="M21" s="195"/>
      <c r="N21" s="195"/>
      <c r="O21" s="195"/>
      <c r="P21" s="195"/>
      <c r="Q21" s="195"/>
      <c r="R21" s="116" t="s">
        <v>32</v>
      </c>
      <c r="S21" s="195"/>
      <c r="T21" s="195"/>
      <c r="U21" s="195"/>
      <c r="V21" s="195"/>
      <c r="W21" s="195"/>
      <c r="X21" s="195"/>
      <c r="Y21" s="195"/>
      <c r="Z21" s="195"/>
      <c r="AA21" s="195"/>
      <c r="AB21" s="195"/>
      <c r="AC21" s="195"/>
      <c r="AD21" s="195"/>
      <c r="AE21" s="195"/>
      <c r="AF21" s="195"/>
      <c r="AG21" s="6"/>
      <c r="AH21" s="34"/>
    </row>
    <row r="22" spans="1:34" ht="13.5" customHeight="1">
      <c r="A22" s="5"/>
      <c r="B22" s="196" t="str">
        <f>見積書!$B$21</f>
        <v>あんしん電話当番サービス</v>
      </c>
      <c r="C22" s="197"/>
      <c r="D22" s="197"/>
      <c r="E22" s="197"/>
      <c r="F22" s="197"/>
      <c r="G22" s="197"/>
      <c r="H22" s="197"/>
      <c r="I22" s="197"/>
      <c r="J22" s="197"/>
      <c r="K22" s="197"/>
      <c r="L22" s="197"/>
      <c r="M22" s="197"/>
      <c r="N22" s="197"/>
      <c r="O22" s="197"/>
      <c r="P22" s="197"/>
      <c r="Q22" s="197"/>
      <c r="R22" s="196" t="str">
        <f>見積書!$R$21</f>
        <v>あんしん電話当番サービス利用規約</v>
      </c>
      <c r="S22" s="197"/>
      <c r="T22" s="197"/>
      <c r="U22" s="197"/>
      <c r="V22" s="197"/>
      <c r="W22" s="197"/>
      <c r="X22" s="197"/>
      <c r="Y22" s="197"/>
      <c r="Z22" s="197"/>
      <c r="AA22" s="197"/>
      <c r="AB22" s="197"/>
      <c r="AC22" s="197"/>
      <c r="AD22" s="197"/>
      <c r="AE22" s="197"/>
      <c r="AF22" s="197"/>
      <c r="AG22" s="6"/>
      <c r="AH22" s="34"/>
    </row>
    <row r="23" spans="1:34" ht="6" customHeight="1">
      <c r="A23" s="5"/>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6"/>
      <c r="AH23" s="34"/>
    </row>
    <row r="24" spans="1:34" ht="13.5" customHeight="1">
      <c r="A24" s="5"/>
      <c r="B24" s="273" t="s">
        <v>115</v>
      </c>
      <c r="C24" s="204"/>
      <c r="D24" s="204"/>
      <c r="E24" s="204"/>
      <c r="F24" s="204"/>
      <c r="G24" s="204"/>
      <c r="H24" s="204"/>
      <c r="I24" s="204"/>
      <c r="J24" s="204"/>
      <c r="K24" s="204"/>
      <c r="L24" s="204"/>
      <c r="M24" s="204"/>
      <c r="N24" s="204"/>
      <c r="O24" s="204"/>
      <c r="P24" s="204"/>
      <c r="Q24" s="205"/>
      <c r="R24" s="116" t="s">
        <v>34</v>
      </c>
      <c r="S24" s="195"/>
      <c r="T24" s="195"/>
      <c r="U24" s="195"/>
      <c r="V24" s="195"/>
      <c r="W24" s="195"/>
      <c r="X24" s="195"/>
      <c r="Y24" s="195"/>
      <c r="Z24" s="195"/>
      <c r="AA24" s="195"/>
      <c r="AB24" s="195"/>
      <c r="AC24" s="195"/>
      <c r="AD24" s="195"/>
      <c r="AE24" s="195"/>
      <c r="AF24" s="195"/>
      <c r="AG24" s="6"/>
      <c r="AH24" s="34"/>
    </row>
    <row r="25" spans="1:34" ht="13.5" customHeight="1">
      <c r="A25" s="5"/>
      <c r="B25" s="206"/>
      <c r="C25" s="207"/>
      <c r="D25" s="207"/>
      <c r="E25" s="207"/>
      <c r="F25" s="207"/>
      <c r="G25" s="207"/>
      <c r="H25" s="207"/>
      <c r="I25" s="207"/>
      <c r="J25" s="207"/>
      <c r="K25" s="207"/>
      <c r="L25" s="207"/>
      <c r="M25" s="207"/>
      <c r="N25" s="207"/>
      <c r="O25" s="207"/>
      <c r="P25" s="207"/>
      <c r="Q25" s="208"/>
      <c r="R25" s="116" t="s">
        <v>35</v>
      </c>
      <c r="S25" s="195"/>
      <c r="T25" s="195"/>
      <c r="U25" s="195"/>
      <c r="V25" s="195"/>
      <c r="W25" s="195"/>
      <c r="X25" s="195"/>
      <c r="Y25" s="195"/>
      <c r="Z25" s="116" t="s">
        <v>45</v>
      </c>
      <c r="AA25" s="195"/>
      <c r="AB25" s="195"/>
      <c r="AC25" s="195"/>
      <c r="AD25" s="195"/>
      <c r="AE25" s="195"/>
      <c r="AF25" s="195"/>
      <c r="AG25" s="6"/>
      <c r="AH25" s="34"/>
    </row>
    <row r="26" spans="1:34" ht="13.5" customHeight="1">
      <c r="A26" s="5"/>
      <c r="B26" s="116" t="s">
        <v>8</v>
      </c>
      <c r="C26" s="195"/>
      <c r="D26" s="195"/>
      <c r="E26" s="195"/>
      <c r="F26" s="195"/>
      <c r="G26" s="195"/>
      <c r="H26" s="193">
        <f>AB37</f>
        <v>0</v>
      </c>
      <c r="I26" s="122"/>
      <c r="J26" s="122"/>
      <c r="K26" s="122"/>
      <c r="L26" s="122"/>
      <c r="M26" s="122"/>
      <c r="N26" s="122"/>
      <c r="O26" s="119"/>
      <c r="P26" s="119"/>
      <c r="Q26" s="120"/>
      <c r="R26" s="164" t="str">
        <f>見積書!R25</f>
        <v>サービス開始後直ちに</v>
      </c>
      <c r="S26" s="165"/>
      <c r="T26" s="165"/>
      <c r="U26" s="165"/>
      <c r="V26" s="165"/>
      <c r="W26" s="165"/>
      <c r="X26" s="165"/>
      <c r="Y26" s="165"/>
      <c r="Z26" s="200" t="str">
        <f>見積書!Z25</f>
        <v>口座振替</v>
      </c>
      <c r="AA26" s="201"/>
      <c r="AB26" s="201"/>
      <c r="AC26" s="201"/>
      <c r="AD26" s="201"/>
      <c r="AE26" s="201"/>
      <c r="AF26" s="201"/>
      <c r="AG26" s="6"/>
      <c r="AH26" s="34"/>
    </row>
    <row r="27" spans="1:34" ht="13.5" customHeight="1">
      <c r="A27" s="5"/>
      <c r="B27" s="195" t="s">
        <v>9</v>
      </c>
      <c r="C27" s="195"/>
      <c r="D27" s="195"/>
      <c r="E27" s="195"/>
      <c r="F27" s="195"/>
      <c r="G27" s="195"/>
      <c r="H27" s="193">
        <f>AB55</f>
        <v>0</v>
      </c>
      <c r="I27" s="122"/>
      <c r="J27" s="122"/>
      <c r="K27" s="122"/>
      <c r="L27" s="122"/>
      <c r="M27" s="122"/>
      <c r="N27" s="122"/>
      <c r="O27" s="119"/>
      <c r="P27" s="119"/>
      <c r="Q27" s="120"/>
      <c r="R27" s="164" t="str">
        <f>見積書!R26</f>
        <v>請求期間開始後1か月以内</v>
      </c>
      <c r="S27" s="165"/>
      <c r="T27" s="165"/>
      <c r="U27" s="165"/>
      <c r="V27" s="165"/>
      <c r="W27" s="165"/>
      <c r="X27" s="165"/>
      <c r="Y27" s="165"/>
      <c r="Z27" s="168" t="str">
        <f>見積書!Z26</f>
        <v>1か月毎の</v>
      </c>
      <c r="AA27" s="168"/>
      <c r="AB27" s="169"/>
      <c r="AC27" s="198" t="str">
        <f>見積書!AC26</f>
        <v>口座振替</v>
      </c>
      <c r="AD27" s="199"/>
      <c r="AE27" s="199"/>
      <c r="AF27" s="199"/>
      <c r="AG27" s="6"/>
      <c r="AH27" s="34"/>
    </row>
    <row r="28" spans="1:34" ht="11.25" customHeight="1">
      <c r="A28" s="5"/>
      <c r="B28" s="170" t="str">
        <f>見積書!B27</f>
        <v>※月額料金は固定料金と従量料金の合計金額となります。従量料金は利用数に応じて変動するため、上記月額料金も変動します。</v>
      </c>
      <c r="C28" s="171"/>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row>
    <row r="29" spans="1:34" ht="11.25" customHeight="1">
      <c r="A29" s="5"/>
      <c r="B29" s="172" t="str">
        <f>見積書!B28</f>
        <v/>
      </c>
      <c r="C29" s="173"/>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6"/>
      <c r="AH29" s="34"/>
    </row>
    <row r="30" spans="1:34" ht="11.25" customHeight="1">
      <c r="A30" s="5"/>
      <c r="B30" s="173"/>
      <c r="C30" s="173"/>
      <c r="D30" s="173"/>
      <c r="E30" s="173"/>
      <c r="F30" s="173"/>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c r="AF30" s="173"/>
      <c r="AG30" s="6"/>
      <c r="AH30" s="34"/>
    </row>
    <row r="31" spans="1:34" ht="6" customHeight="1">
      <c r="A31" s="5"/>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6"/>
      <c r="AH31" s="34"/>
    </row>
    <row r="32" spans="1:34" ht="13.5" customHeight="1">
      <c r="A32" s="5"/>
      <c r="B32" s="174" t="s">
        <v>116</v>
      </c>
      <c r="C32" s="175"/>
      <c r="D32" s="175"/>
      <c r="E32" s="175"/>
      <c r="F32" s="175"/>
      <c r="G32" s="176"/>
      <c r="H32" s="2"/>
      <c r="I32" s="2"/>
      <c r="J32" s="2"/>
      <c r="K32" s="2"/>
      <c r="L32" s="2"/>
      <c r="M32" s="2"/>
      <c r="N32" s="2"/>
      <c r="O32" s="2"/>
      <c r="P32" s="2"/>
      <c r="Q32" s="2"/>
      <c r="R32" s="2"/>
      <c r="S32" s="2"/>
      <c r="T32" s="2"/>
      <c r="U32" s="2"/>
      <c r="V32" s="2"/>
      <c r="W32" s="2"/>
      <c r="X32" s="2"/>
      <c r="Y32" s="2"/>
      <c r="Z32" s="2"/>
      <c r="AA32" s="2"/>
      <c r="AB32" s="2"/>
      <c r="AC32" s="2"/>
      <c r="AD32" s="2"/>
      <c r="AE32" s="2"/>
      <c r="AF32" s="2"/>
      <c r="AG32" s="6"/>
      <c r="AH32" s="34"/>
    </row>
    <row r="33" spans="1:34" ht="13.5" customHeight="1">
      <c r="A33" s="5"/>
      <c r="B33" s="118" t="s">
        <v>12</v>
      </c>
      <c r="C33" s="119"/>
      <c r="D33" s="119"/>
      <c r="E33" s="119"/>
      <c r="F33" s="119"/>
      <c r="G33" s="120"/>
      <c r="H33" s="121" t="s">
        <v>29</v>
      </c>
      <c r="I33" s="122"/>
      <c r="J33" s="122"/>
      <c r="K33" s="122"/>
      <c r="L33" s="122"/>
      <c r="M33" s="122"/>
      <c r="N33" s="122"/>
      <c r="O33" s="122"/>
      <c r="P33" s="122"/>
      <c r="Q33" s="122"/>
      <c r="R33" s="122"/>
      <c r="S33" s="122"/>
      <c r="T33" s="122"/>
      <c r="U33" s="123"/>
      <c r="V33" s="161" t="s">
        <v>40</v>
      </c>
      <c r="W33" s="161"/>
      <c r="X33" s="161"/>
      <c r="Y33" s="162"/>
      <c r="Z33" s="163" t="s">
        <v>48</v>
      </c>
      <c r="AA33" s="163"/>
      <c r="AB33" s="161" t="s">
        <v>51</v>
      </c>
      <c r="AC33" s="161"/>
      <c r="AD33" s="161"/>
      <c r="AE33" s="161"/>
      <c r="AF33" s="161"/>
      <c r="AG33" s="6"/>
      <c r="AH33" s="34"/>
    </row>
    <row r="34" spans="1:34" ht="13.5" customHeight="1">
      <c r="A34" s="5"/>
      <c r="B34" s="222" t="str">
        <f>IF(見積書!B33="","",見積書!B33)</f>
        <v>初期料金</v>
      </c>
      <c r="C34" s="223"/>
      <c r="D34" s="223"/>
      <c r="E34" s="223"/>
      <c r="F34" s="223"/>
      <c r="G34" s="223"/>
      <c r="H34" s="223"/>
      <c r="I34" s="223"/>
      <c r="J34" s="223"/>
      <c r="K34" s="223"/>
      <c r="L34" s="223"/>
      <c r="M34" s="223"/>
      <c r="N34" s="223"/>
      <c r="O34" s="223"/>
      <c r="P34" s="223"/>
      <c r="Q34" s="223"/>
      <c r="R34" s="223"/>
      <c r="S34" s="223"/>
      <c r="T34" s="223"/>
      <c r="U34" s="224"/>
      <c r="V34" s="225">
        <f>IF(見積書!V33="","",見積書!V33)</f>
        <v>30000</v>
      </c>
      <c r="W34" s="226"/>
      <c r="X34" s="226"/>
      <c r="Y34" s="227"/>
      <c r="Z34" s="228" t="str">
        <f>IF(見積書!Z33="","",見積書!Z33)</f>
        <v/>
      </c>
      <c r="AA34" s="229"/>
      <c r="AB34" s="225" t="str">
        <f>IF(Z34="","",V34*Z34)</f>
        <v/>
      </c>
      <c r="AC34" s="226"/>
      <c r="AD34" s="226"/>
      <c r="AE34" s="226"/>
      <c r="AF34" s="230"/>
      <c r="AG34" s="6"/>
      <c r="AH34" s="34"/>
    </row>
    <row r="35" spans="1:34" ht="13.5" customHeight="1">
      <c r="A35" s="5"/>
      <c r="B35" s="222" t="str">
        <f>IF(見積書!B34="","",見積書!B34)</f>
        <v/>
      </c>
      <c r="C35" s="223"/>
      <c r="D35" s="223"/>
      <c r="E35" s="223"/>
      <c r="F35" s="223"/>
      <c r="G35" s="223"/>
      <c r="H35" s="223"/>
      <c r="I35" s="223"/>
      <c r="J35" s="223"/>
      <c r="K35" s="223"/>
      <c r="L35" s="223"/>
      <c r="M35" s="223"/>
      <c r="N35" s="223"/>
      <c r="O35" s="223"/>
      <c r="P35" s="223"/>
      <c r="Q35" s="223"/>
      <c r="R35" s="223"/>
      <c r="S35" s="223"/>
      <c r="T35" s="223"/>
      <c r="U35" s="224"/>
      <c r="V35" s="225" t="str">
        <f>IF(見積書!V34="","",見積書!V34)</f>
        <v/>
      </c>
      <c r="W35" s="226"/>
      <c r="X35" s="226"/>
      <c r="Y35" s="227"/>
      <c r="Z35" s="228" t="str">
        <f>IF(見積書!Z34="","",見積書!Z34)</f>
        <v/>
      </c>
      <c r="AA35" s="229"/>
      <c r="AB35" s="225" t="str">
        <f>IF(Z35="","",V35*Z35)</f>
        <v/>
      </c>
      <c r="AC35" s="226"/>
      <c r="AD35" s="226"/>
      <c r="AE35" s="226"/>
      <c r="AF35" s="230"/>
      <c r="AG35" s="6"/>
      <c r="AH35" s="34"/>
    </row>
    <row r="36" spans="1:34" ht="13.5" customHeight="1">
      <c r="A36" s="5"/>
      <c r="B36" s="222" t="str">
        <f>IF(見積書!B35="","",見積書!B35)</f>
        <v/>
      </c>
      <c r="C36" s="223"/>
      <c r="D36" s="223"/>
      <c r="E36" s="223"/>
      <c r="F36" s="223"/>
      <c r="G36" s="223"/>
      <c r="H36" s="223"/>
      <c r="I36" s="223"/>
      <c r="J36" s="223"/>
      <c r="K36" s="223"/>
      <c r="L36" s="223"/>
      <c r="M36" s="223"/>
      <c r="N36" s="223"/>
      <c r="O36" s="223"/>
      <c r="P36" s="223"/>
      <c r="Q36" s="223"/>
      <c r="R36" s="223"/>
      <c r="S36" s="223"/>
      <c r="T36" s="223"/>
      <c r="U36" s="224"/>
      <c r="V36" s="225" t="str">
        <f>IF(見積書!V35="","",見積書!V35)</f>
        <v/>
      </c>
      <c r="W36" s="226"/>
      <c r="X36" s="226"/>
      <c r="Y36" s="227"/>
      <c r="Z36" s="228" t="str">
        <f>IF(見積書!Z35="","",見積書!Z35)</f>
        <v/>
      </c>
      <c r="AA36" s="229"/>
      <c r="AB36" s="225" t="str">
        <f>IF(Z36="","",V36*Z36)</f>
        <v/>
      </c>
      <c r="AC36" s="226"/>
      <c r="AD36" s="226"/>
      <c r="AE36" s="226"/>
      <c r="AF36" s="230"/>
      <c r="AG36" s="6"/>
      <c r="AH36" s="34"/>
    </row>
    <row r="37" spans="1:34" ht="13.5" customHeight="1">
      <c r="A37" s="5"/>
      <c r="B37" s="231" t="s">
        <v>13</v>
      </c>
      <c r="C37" s="232"/>
      <c r="D37" s="232"/>
      <c r="E37" s="232"/>
      <c r="F37" s="232"/>
      <c r="G37" s="232"/>
      <c r="H37" s="232"/>
      <c r="I37" s="232"/>
      <c r="J37" s="232"/>
      <c r="K37" s="232"/>
      <c r="L37" s="232"/>
      <c r="M37" s="232"/>
      <c r="N37" s="232"/>
      <c r="O37" s="232"/>
      <c r="P37" s="232"/>
      <c r="Q37" s="232"/>
      <c r="R37" s="232"/>
      <c r="S37" s="232"/>
      <c r="T37" s="232"/>
      <c r="U37" s="232"/>
      <c r="V37" s="232"/>
      <c r="W37" s="232"/>
      <c r="X37" s="232"/>
      <c r="Y37" s="232"/>
      <c r="Z37" s="232"/>
      <c r="AA37" s="233"/>
      <c r="AB37" s="225">
        <f>SUM(AB34:AF36)</f>
        <v>0</v>
      </c>
      <c r="AC37" s="226"/>
      <c r="AD37" s="226"/>
      <c r="AE37" s="226"/>
      <c r="AF37" s="230"/>
      <c r="AG37" s="6"/>
      <c r="AH37" s="34"/>
    </row>
    <row r="38" spans="1:34" ht="6" customHeight="1">
      <c r="A38" s="5"/>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6"/>
      <c r="AH38" s="34"/>
    </row>
    <row r="39" spans="1:34" ht="13.5" customHeight="1">
      <c r="A39" s="5"/>
      <c r="B39" s="234" t="s">
        <v>14</v>
      </c>
      <c r="C39" s="235"/>
      <c r="D39" s="235"/>
      <c r="E39" s="235"/>
      <c r="F39" s="235"/>
      <c r="G39" s="236"/>
      <c r="H39" s="237" t="s">
        <v>29</v>
      </c>
      <c r="I39" s="238"/>
      <c r="J39" s="238"/>
      <c r="K39" s="238"/>
      <c r="L39" s="238"/>
      <c r="M39" s="238"/>
      <c r="N39" s="238"/>
      <c r="O39" s="238"/>
      <c r="P39" s="238"/>
      <c r="Q39" s="238"/>
      <c r="R39" s="238"/>
      <c r="S39" s="238"/>
      <c r="T39" s="238"/>
      <c r="U39" s="239"/>
      <c r="V39" s="240" t="s">
        <v>40</v>
      </c>
      <c r="W39" s="240"/>
      <c r="X39" s="240"/>
      <c r="Y39" s="241"/>
      <c r="Z39" s="242" t="s">
        <v>48</v>
      </c>
      <c r="AA39" s="242"/>
      <c r="AB39" s="240" t="s">
        <v>51</v>
      </c>
      <c r="AC39" s="240"/>
      <c r="AD39" s="240"/>
      <c r="AE39" s="240"/>
      <c r="AF39" s="240"/>
      <c r="AG39" s="6"/>
      <c r="AH39" s="34"/>
    </row>
    <row r="40" spans="1:34" ht="13.5" customHeight="1">
      <c r="A40" s="5"/>
      <c r="B40" s="243" t="s">
        <v>15</v>
      </c>
      <c r="C40" s="244"/>
      <c r="D40" s="244"/>
      <c r="E40" s="244"/>
      <c r="F40" s="244"/>
      <c r="G40" s="245"/>
      <c r="H40" s="246"/>
      <c r="I40" s="247"/>
      <c r="J40" s="247"/>
      <c r="K40" s="247"/>
      <c r="L40" s="247"/>
      <c r="M40" s="247"/>
      <c r="N40" s="247"/>
      <c r="O40" s="247"/>
      <c r="P40" s="248"/>
      <c r="Q40" s="247"/>
      <c r="R40" s="247"/>
      <c r="S40" s="247"/>
      <c r="T40" s="247"/>
      <c r="U40" s="247"/>
      <c r="V40" s="249"/>
      <c r="W40" s="226"/>
      <c r="X40" s="226"/>
      <c r="Y40" s="247"/>
      <c r="Z40" s="250"/>
      <c r="AA40" s="251"/>
      <c r="AB40" s="249"/>
      <c r="AC40" s="226"/>
      <c r="AD40" s="226"/>
      <c r="AE40" s="226"/>
      <c r="AF40" s="230"/>
      <c r="AG40" s="6"/>
      <c r="AH40" s="34"/>
    </row>
    <row r="41" spans="1:34" ht="13.5" customHeight="1">
      <c r="A41" s="5"/>
      <c r="B41" s="222" t="str">
        <f>IF(見積書!B40="","",見積書!B40)</f>
        <v/>
      </c>
      <c r="C41" s="223"/>
      <c r="D41" s="223"/>
      <c r="E41" s="223"/>
      <c r="F41" s="223"/>
      <c r="G41" s="224"/>
      <c r="H41" s="252" t="str">
        <f>IF(見積書!H40="","",見積書!H40)</f>
        <v/>
      </c>
      <c r="I41" s="252"/>
      <c r="J41" s="252"/>
      <c r="K41" s="252"/>
      <c r="L41" s="252"/>
      <c r="M41" s="252"/>
      <c r="N41" s="252"/>
      <c r="O41" s="252"/>
      <c r="P41" s="253" t="str">
        <f>IF(見積書!P40="","",見積書!P40)</f>
        <v/>
      </c>
      <c r="Q41" s="254"/>
      <c r="R41" s="254"/>
      <c r="S41" s="254"/>
      <c r="T41" s="254"/>
      <c r="U41" s="255"/>
      <c r="V41" s="225" t="str">
        <f>IF(見積書!V40="","",見積書!V40)</f>
        <v/>
      </c>
      <c r="W41" s="226"/>
      <c r="X41" s="226"/>
      <c r="Y41" s="227"/>
      <c r="Z41" s="228" t="str">
        <f>IF(見積書!Z40="","",見積書!Z40)</f>
        <v/>
      </c>
      <c r="AA41" s="229"/>
      <c r="AB41" s="225" t="str">
        <f t="shared" ref="AB41:AB47" si="0">IF(Z41="","",V41*Z41)</f>
        <v/>
      </c>
      <c r="AC41" s="226"/>
      <c r="AD41" s="226"/>
      <c r="AE41" s="226"/>
      <c r="AF41" s="230"/>
      <c r="AG41" s="6"/>
      <c r="AH41" s="34"/>
    </row>
    <row r="42" spans="1:34" ht="13.5" customHeight="1">
      <c r="A42" s="5"/>
      <c r="B42" s="222" t="str">
        <f>IF(見積書!B41="","",見積書!B41)</f>
        <v/>
      </c>
      <c r="C42" s="223"/>
      <c r="D42" s="223"/>
      <c r="E42" s="223"/>
      <c r="F42" s="223"/>
      <c r="G42" s="224"/>
      <c r="H42" s="252" t="str">
        <f>IF(見積書!H41="","",見積書!H41)</f>
        <v/>
      </c>
      <c r="I42" s="252"/>
      <c r="J42" s="252"/>
      <c r="K42" s="252"/>
      <c r="L42" s="252"/>
      <c r="M42" s="252"/>
      <c r="N42" s="252"/>
      <c r="O42" s="252"/>
      <c r="P42" s="253" t="str">
        <f>IF(見積書!P41="","",見積書!P41)</f>
        <v/>
      </c>
      <c r="Q42" s="254"/>
      <c r="R42" s="254"/>
      <c r="S42" s="254"/>
      <c r="T42" s="254"/>
      <c r="U42" s="255"/>
      <c r="V42" s="225" t="str">
        <f>IF(見積書!V41="","",見積書!V41)</f>
        <v/>
      </c>
      <c r="W42" s="226"/>
      <c r="X42" s="226"/>
      <c r="Y42" s="227"/>
      <c r="Z42" s="228" t="str">
        <f>IF(見積書!Z41="","",見積書!Z41)</f>
        <v/>
      </c>
      <c r="AA42" s="229"/>
      <c r="AB42" s="225" t="str">
        <f t="shared" si="0"/>
        <v/>
      </c>
      <c r="AC42" s="226"/>
      <c r="AD42" s="226"/>
      <c r="AE42" s="226"/>
      <c r="AF42" s="230"/>
      <c r="AG42" s="6"/>
      <c r="AH42" s="34"/>
    </row>
    <row r="43" spans="1:34" ht="13.5" customHeight="1">
      <c r="A43" s="5"/>
      <c r="B43" s="222" t="str">
        <f>IF(見積書!B42="","",見積書!B42)</f>
        <v/>
      </c>
      <c r="C43" s="223"/>
      <c r="D43" s="223"/>
      <c r="E43" s="223"/>
      <c r="F43" s="223"/>
      <c r="G43" s="224"/>
      <c r="H43" s="252" t="str">
        <f>IF(見積書!H42="","",見積書!H42)</f>
        <v/>
      </c>
      <c r="I43" s="252"/>
      <c r="J43" s="252"/>
      <c r="K43" s="252"/>
      <c r="L43" s="252"/>
      <c r="M43" s="252"/>
      <c r="N43" s="252"/>
      <c r="O43" s="252"/>
      <c r="P43" s="253" t="str">
        <f>IF(見積書!P42="","",見積書!P42)</f>
        <v/>
      </c>
      <c r="Q43" s="254"/>
      <c r="R43" s="254"/>
      <c r="S43" s="254"/>
      <c r="T43" s="254"/>
      <c r="U43" s="255"/>
      <c r="V43" s="225" t="str">
        <f>IF(見積書!V42="","",見積書!V42)</f>
        <v/>
      </c>
      <c r="W43" s="226"/>
      <c r="X43" s="226"/>
      <c r="Y43" s="227"/>
      <c r="Z43" s="228" t="str">
        <f>IF(見積書!Z42="","",見積書!Z42)</f>
        <v/>
      </c>
      <c r="AA43" s="229"/>
      <c r="AB43" s="225" t="str">
        <f t="shared" si="0"/>
        <v/>
      </c>
      <c r="AC43" s="226"/>
      <c r="AD43" s="226"/>
      <c r="AE43" s="226"/>
      <c r="AF43" s="230"/>
      <c r="AG43" s="6"/>
      <c r="AH43" s="34"/>
    </row>
    <row r="44" spans="1:34" ht="13.5" customHeight="1">
      <c r="A44" s="5"/>
      <c r="B44" s="222" t="str">
        <f>IF(見積書!B43="","",見積書!B43)</f>
        <v/>
      </c>
      <c r="C44" s="223"/>
      <c r="D44" s="223"/>
      <c r="E44" s="223"/>
      <c r="F44" s="223"/>
      <c r="G44" s="224"/>
      <c r="H44" s="252" t="str">
        <f>IF(見積書!H43="","",見積書!H43)</f>
        <v/>
      </c>
      <c r="I44" s="252"/>
      <c r="J44" s="252"/>
      <c r="K44" s="252"/>
      <c r="L44" s="252"/>
      <c r="M44" s="252"/>
      <c r="N44" s="252"/>
      <c r="O44" s="252"/>
      <c r="P44" s="253" t="str">
        <f>IF(見積書!P43="","",見積書!P43)</f>
        <v/>
      </c>
      <c r="Q44" s="254"/>
      <c r="R44" s="254"/>
      <c r="S44" s="254"/>
      <c r="T44" s="254"/>
      <c r="U44" s="255"/>
      <c r="V44" s="225" t="str">
        <f>IF(見積書!V43="","",見積書!V43)</f>
        <v/>
      </c>
      <c r="W44" s="226"/>
      <c r="X44" s="226"/>
      <c r="Y44" s="227"/>
      <c r="Z44" s="228" t="str">
        <f>IF(見積書!Z43="","",見積書!Z43)</f>
        <v/>
      </c>
      <c r="AA44" s="229"/>
      <c r="AB44" s="225" t="str">
        <f t="shared" si="0"/>
        <v/>
      </c>
      <c r="AC44" s="226"/>
      <c r="AD44" s="226"/>
      <c r="AE44" s="226"/>
      <c r="AF44" s="230"/>
      <c r="AG44" s="6"/>
      <c r="AH44" s="34"/>
    </row>
    <row r="45" spans="1:34" ht="13.5" customHeight="1">
      <c r="A45" s="5"/>
      <c r="B45" s="222" t="str">
        <f>IF(見積書!B44="","",見積書!B44)</f>
        <v/>
      </c>
      <c r="C45" s="223"/>
      <c r="D45" s="223"/>
      <c r="E45" s="223"/>
      <c r="F45" s="223"/>
      <c r="G45" s="224"/>
      <c r="H45" s="252" t="str">
        <f>IF(見積書!H44="","",見積書!H44)</f>
        <v/>
      </c>
      <c r="I45" s="252"/>
      <c r="J45" s="252"/>
      <c r="K45" s="252"/>
      <c r="L45" s="252"/>
      <c r="M45" s="252"/>
      <c r="N45" s="252"/>
      <c r="O45" s="252"/>
      <c r="P45" s="253" t="str">
        <f>IF(見積書!P44="","",見積書!P44)</f>
        <v/>
      </c>
      <c r="Q45" s="254"/>
      <c r="R45" s="254"/>
      <c r="S45" s="254"/>
      <c r="T45" s="254"/>
      <c r="U45" s="255"/>
      <c r="V45" s="225" t="str">
        <f>IF(見積書!V44="","",見積書!V44)</f>
        <v/>
      </c>
      <c r="W45" s="226"/>
      <c r="X45" s="226"/>
      <c r="Y45" s="227"/>
      <c r="Z45" s="228" t="str">
        <f>IF(見積書!Z44="","",見積書!Z44)</f>
        <v/>
      </c>
      <c r="AA45" s="229"/>
      <c r="AB45" s="225" t="str">
        <f t="shared" si="0"/>
        <v/>
      </c>
      <c r="AC45" s="226"/>
      <c r="AD45" s="226"/>
      <c r="AE45" s="226"/>
      <c r="AF45" s="230"/>
      <c r="AG45" s="6"/>
      <c r="AH45" s="34"/>
    </row>
    <row r="46" spans="1:34" ht="13.5" customHeight="1">
      <c r="A46" s="5"/>
      <c r="B46" s="222" t="str">
        <f>IF(見積書!B45="","",見積書!B45)</f>
        <v/>
      </c>
      <c r="C46" s="223"/>
      <c r="D46" s="223"/>
      <c r="E46" s="223"/>
      <c r="F46" s="223"/>
      <c r="G46" s="224"/>
      <c r="H46" s="252" t="str">
        <f>IF(見積書!H45="","",見積書!H45)</f>
        <v/>
      </c>
      <c r="I46" s="252"/>
      <c r="J46" s="252"/>
      <c r="K46" s="252"/>
      <c r="L46" s="252"/>
      <c r="M46" s="252"/>
      <c r="N46" s="252"/>
      <c r="O46" s="252"/>
      <c r="P46" s="253" t="str">
        <f>IF(見積書!P45="","",見積書!P45)</f>
        <v/>
      </c>
      <c r="Q46" s="254"/>
      <c r="R46" s="254"/>
      <c r="S46" s="254"/>
      <c r="T46" s="254"/>
      <c r="U46" s="255"/>
      <c r="V46" s="225" t="str">
        <f>IF(見積書!V45="","",見積書!V45)</f>
        <v/>
      </c>
      <c r="W46" s="226"/>
      <c r="X46" s="226"/>
      <c r="Y46" s="227"/>
      <c r="Z46" s="228" t="str">
        <f>IF(見積書!Z45="","",見積書!Z45)</f>
        <v/>
      </c>
      <c r="AA46" s="229"/>
      <c r="AB46" s="225" t="str">
        <f t="shared" si="0"/>
        <v/>
      </c>
      <c r="AC46" s="226"/>
      <c r="AD46" s="226"/>
      <c r="AE46" s="226"/>
      <c r="AF46" s="230"/>
      <c r="AG46" s="6"/>
      <c r="AH46" s="34"/>
    </row>
    <row r="47" spans="1:34" ht="13.5" customHeight="1">
      <c r="A47" s="5"/>
      <c r="B47" s="222" t="str">
        <f>IF(見積書!B46="","",見積書!B46)</f>
        <v/>
      </c>
      <c r="C47" s="223"/>
      <c r="D47" s="223"/>
      <c r="E47" s="223"/>
      <c r="F47" s="223"/>
      <c r="G47" s="224"/>
      <c r="H47" s="252" t="str">
        <f>IF(見積書!H46="","",見積書!H46)</f>
        <v/>
      </c>
      <c r="I47" s="252"/>
      <c r="J47" s="252"/>
      <c r="K47" s="252"/>
      <c r="L47" s="252"/>
      <c r="M47" s="252"/>
      <c r="N47" s="252"/>
      <c r="O47" s="252"/>
      <c r="P47" s="253" t="str">
        <f>IF(見積書!P46="","",見積書!P46)</f>
        <v/>
      </c>
      <c r="Q47" s="254"/>
      <c r="R47" s="254"/>
      <c r="S47" s="254"/>
      <c r="T47" s="254"/>
      <c r="U47" s="255"/>
      <c r="V47" s="225" t="str">
        <f>IF(見積書!V46="","",見積書!V46)</f>
        <v/>
      </c>
      <c r="W47" s="226"/>
      <c r="X47" s="226"/>
      <c r="Y47" s="227"/>
      <c r="Z47" s="228" t="str">
        <f>IF(見積書!Z46="","",見積書!Z46)</f>
        <v/>
      </c>
      <c r="AA47" s="229"/>
      <c r="AB47" s="225" t="str">
        <f t="shared" si="0"/>
        <v/>
      </c>
      <c r="AC47" s="226"/>
      <c r="AD47" s="226"/>
      <c r="AE47" s="226"/>
      <c r="AF47" s="230"/>
      <c r="AG47" s="6"/>
      <c r="AH47" s="34"/>
    </row>
    <row r="48" spans="1:34" ht="13.5" customHeight="1">
      <c r="A48" s="5"/>
      <c r="B48" s="256" t="s">
        <v>16</v>
      </c>
      <c r="C48" s="244"/>
      <c r="D48" s="244"/>
      <c r="E48" s="244"/>
      <c r="F48" s="244"/>
      <c r="G48" s="245"/>
      <c r="H48" s="246"/>
      <c r="I48" s="247"/>
      <c r="J48" s="247"/>
      <c r="K48" s="247"/>
      <c r="L48" s="247"/>
      <c r="M48" s="247"/>
      <c r="N48" s="247"/>
      <c r="O48" s="247"/>
      <c r="P48" s="248"/>
      <c r="Q48" s="247"/>
      <c r="R48" s="247"/>
      <c r="S48" s="247"/>
      <c r="T48" s="247"/>
      <c r="U48" s="247"/>
      <c r="V48" s="249"/>
      <c r="W48" s="226"/>
      <c r="X48" s="226"/>
      <c r="Y48" s="247"/>
      <c r="Z48" s="250"/>
      <c r="AA48" s="251"/>
      <c r="AB48" s="249"/>
      <c r="AC48" s="226"/>
      <c r="AD48" s="226"/>
      <c r="AE48" s="226"/>
      <c r="AF48" s="230"/>
      <c r="AG48" s="6"/>
      <c r="AH48" s="34"/>
    </row>
    <row r="49" spans="1:35" ht="13.5" customHeight="1">
      <c r="A49" s="5"/>
      <c r="B49" s="222" t="str">
        <f>IF(見積書!B48="","",見積書!B48)</f>
        <v/>
      </c>
      <c r="C49" s="223"/>
      <c r="D49" s="223"/>
      <c r="E49" s="223"/>
      <c r="F49" s="223"/>
      <c r="G49" s="224"/>
      <c r="H49" s="252" t="str">
        <f>IF(見積書!H48="","",見積書!H48)</f>
        <v/>
      </c>
      <c r="I49" s="252"/>
      <c r="J49" s="252"/>
      <c r="K49" s="252"/>
      <c r="L49" s="252"/>
      <c r="M49" s="252"/>
      <c r="N49" s="252"/>
      <c r="O49" s="252"/>
      <c r="P49" s="253" t="str">
        <f>IF(見積書!P48="","",見積書!P48)</f>
        <v/>
      </c>
      <c r="Q49" s="254"/>
      <c r="R49" s="254"/>
      <c r="S49" s="254"/>
      <c r="T49" s="254"/>
      <c r="U49" s="255"/>
      <c r="V49" s="225" t="str">
        <f>IF(見積書!V48="","",見積書!V48)</f>
        <v/>
      </c>
      <c r="W49" s="226"/>
      <c r="X49" s="226"/>
      <c r="Y49" s="227"/>
      <c r="Z49" s="228" t="str">
        <f>IF(見積書!Z48="","",見積書!Z48)</f>
        <v/>
      </c>
      <c r="AA49" s="229"/>
      <c r="AB49" s="225" t="str">
        <f t="shared" ref="AB49:AB54" si="1">IF(Z49="","",V49*Z49)</f>
        <v/>
      </c>
      <c r="AC49" s="226"/>
      <c r="AD49" s="226"/>
      <c r="AE49" s="226"/>
      <c r="AF49" s="230"/>
      <c r="AG49" s="6"/>
      <c r="AH49" s="34"/>
    </row>
    <row r="50" spans="1:35" ht="13.5" customHeight="1">
      <c r="A50" s="5"/>
      <c r="B50" s="222" t="str">
        <f>IF(見積書!B49="","",見積書!B49)</f>
        <v/>
      </c>
      <c r="C50" s="223"/>
      <c r="D50" s="223"/>
      <c r="E50" s="223"/>
      <c r="F50" s="223"/>
      <c r="G50" s="224"/>
      <c r="H50" s="252" t="str">
        <f>IF(見積書!H49="","",見積書!H49)</f>
        <v/>
      </c>
      <c r="I50" s="252"/>
      <c r="J50" s="252"/>
      <c r="K50" s="252"/>
      <c r="L50" s="252"/>
      <c r="M50" s="252"/>
      <c r="N50" s="252"/>
      <c r="O50" s="252"/>
      <c r="P50" s="253" t="str">
        <f>IF(見積書!P49="","",見積書!P49)</f>
        <v/>
      </c>
      <c r="Q50" s="254"/>
      <c r="R50" s="254"/>
      <c r="S50" s="254"/>
      <c r="T50" s="254"/>
      <c r="U50" s="255"/>
      <c r="V50" s="225" t="str">
        <f>IF(見積書!V49="","",見積書!V49)</f>
        <v/>
      </c>
      <c r="W50" s="226"/>
      <c r="X50" s="226"/>
      <c r="Y50" s="227"/>
      <c r="Z50" s="228" t="str">
        <f>IF(見積書!Z49="","",見積書!Z49)</f>
        <v/>
      </c>
      <c r="AA50" s="229"/>
      <c r="AB50" s="225" t="str">
        <f t="shared" si="1"/>
        <v/>
      </c>
      <c r="AC50" s="226"/>
      <c r="AD50" s="226"/>
      <c r="AE50" s="226"/>
      <c r="AF50" s="230"/>
      <c r="AG50" s="6"/>
      <c r="AH50" s="34"/>
    </row>
    <row r="51" spans="1:35" ht="13.5" customHeight="1">
      <c r="A51" s="5"/>
      <c r="B51" s="222" t="str">
        <f>IF(見積書!B50="","",見積書!B50)</f>
        <v/>
      </c>
      <c r="C51" s="223"/>
      <c r="D51" s="223"/>
      <c r="E51" s="223"/>
      <c r="F51" s="223"/>
      <c r="G51" s="224"/>
      <c r="H51" s="252" t="str">
        <f>IF(見積書!H50="","",見積書!H50)</f>
        <v/>
      </c>
      <c r="I51" s="252"/>
      <c r="J51" s="252"/>
      <c r="K51" s="252"/>
      <c r="L51" s="252"/>
      <c r="M51" s="252"/>
      <c r="N51" s="252"/>
      <c r="O51" s="252"/>
      <c r="P51" s="253" t="str">
        <f>IF(見積書!P50="","",見積書!P50)</f>
        <v/>
      </c>
      <c r="Q51" s="254"/>
      <c r="R51" s="254"/>
      <c r="S51" s="254"/>
      <c r="T51" s="254"/>
      <c r="U51" s="255"/>
      <c r="V51" s="225" t="str">
        <f>IF(見積書!V50="","",見積書!V50)</f>
        <v/>
      </c>
      <c r="W51" s="226"/>
      <c r="X51" s="226"/>
      <c r="Y51" s="227"/>
      <c r="Z51" s="228" t="str">
        <f>IF(見積書!Z50="","",見積書!Z50)</f>
        <v/>
      </c>
      <c r="AA51" s="229"/>
      <c r="AB51" s="225" t="str">
        <f t="shared" si="1"/>
        <v/>
      </c>
      <c r="AC51" s="226"/>
      <c r="AD51" s="226"/>
      <c r="AE51" s="226"/>
      <c r="AF51" s="230"/>
      <c r="AG51" s="6"/>
      <c r="AH51" s="34"/>
    </row>
    <row r="52" spans="1:35" ht="13.5" customHeight="1">
      <c r="A52" s="5"/>
      <c r="B52" s="222" t="str">
        <f>IF(見積書!B51="","",見積書!B51)</f>
        <v/>
      </c>
      <c r="C52" s="223"/>
      <c r="D52" s="223"/>
      <c r="E52" s="223"/>
      <c r="F52" s="223"/>
      <c r="G52" s="224"/>
      <c r="H52" s="252" t="str">
        <f>IF(見積書!H51="","",見積書!H51)</f>
        <v/>
      </c>
      <c r="I52" s="252"/>
      <c r="J52" s="252"/>
      <c r="K52" s="252"/>
      <c r="L52" s="252"/>
      <c r="M52" s="252"/>
      <c r="N52" s="252"/>
      <c r="O52" s="252"/>
      <c r="P52" s="253" t="str">
        <f>IF(見積書!P51="","",見積書!P51)</f>
        <v/>
      </c>
      <c r="Q52" s="254"/>
      <c r="R52" s="254"/>
      <c r="S52" s="254"/>
      <c r="T52" s="254"/>
      <c r="U52" s="255"/>
      <c r="V52" s="225" t="str">
        <f>IF(見積書!V51="","",見積書!V51)</f>
        <v/>
      </c>
      <c r="W52" s="226"/>
      <c r="X52" s="226"/>
      <c r="Y52" s="227"/>
      <c r="Z52" s="228" t="str">
        <f>IF(見積書!Z51="","",見積書!Z51)</f>
        <v/>
      </c>
      <c r="AA52" s="229"/>
      <c r="AB52" s="225" t="str">
        <f t="shared" si="1"/>
        <v/>
      </c>
      <c r="AC52" s="226"/>
      <c r="AD52" s="226"/>
      <c r="AE52" s="226"/>
      <c r="AF52" s="230"/>
      <c r="AG52" s="6"/>
      <c r="AH52" s="34"/>
    </row>
    <row r="53" spans="1:35" ht="13.5" customHeight="1">
      <c r="A53" s="5"/>
      <c r="B53" s="222" t="str">
        <f>IF(見積書!B52="","",見積書!B52)</f>
        <v/>
      </c>
      <c r="C53" s="223"/>
      <c r="D53" s="223"/>
      <c r="E53" s="223"/>
      <c r="F53" s="223"/>
      <c r="G53" s="224"/>
      <c r="H53" s="252" t="str">
        <f>IF(見積書!H52="","",見積書!H52)</f>
        <v/>
      </c>
      <c r="I53" s="252"/>
      <c r="J53" s="252"/>
      <c r="K53" s="252"/>
      <c r="L53" s="252"/>
      <c r="M53" s="252"/>
      <c r="N53" s="252"/>
      <c r="O53" s="252"/>
      <c r="P53" s="253" t="str">
        <f>IF(見積書!P52="","",見積書!P52)</f>
        <v/>
      </c>
      <c r="Q53" s="254"/>
      <c r="R53" s="254"/>
      <c r="S53" s="254"/>
      <c r="T53" s="254"/>
      <c r="U53" s="255"/>
      <c r="V53" s="225" t="str">
        <f>IF(見積書!V52="","",見積書!V52)</f>
        <v/>
      </c>
      <c r="W53" s="226"/>
      <c r="X53" s="226"/>
      <c r="Y53" s="227"/>
      <c r="Z53" s="228" t="str">
        <f>IF(見積書!Z52="","",見積書!Z52)</f>
        <v/>
      </c>
      <c r="AA53" s="229"/>
      <c r="AB53" s="225" t="str">
        <f t="shared" si="1"/>
        <v/>
      </c>
      <c r="AC53" s="226"/>
      <c r="AD53" s="226"/>
      <c r="AE53" s="226"/>
      <c r="AF53" s="230"/>
      <c r="AG53" s="6"/>
      <c r="AH53" s="34"/>
    </row>
    <row r="54" spans="1:35" ht="13.5" customHeight="1">
      <c r="A54" s="5"/>
      <c r="B54" s="222" t="str">
        <f>IF(見積書!B53="","",見積書!B53)</f>
        <v/>
      </c>
      <c r="C54" s="223"/>
      <c r="D54" s="223"/>
      <c r="E54" s="223"/>
      <c r="F54" s="223"/>
      <c r="G54" s="224"/>
      <c r="H54" s="252" t="str">
        <f>IF(見積書!H53="","",見積書!H53)</f>
        <v/>
      </c>
      <c r="I54" s="252"/>
      <c r="J54" s="252"/>
      <c r="K54" s="252"/>
      <c r="L54" s="252"/>
      <c r="M54" s="252"/>
      <c r="N54" s="252"/>
      <c r="O54" s="252"/>
      <c r="P54" s="253" t="str">
        <f>IF(見積書!P53="","",見積書!P53)</f>
        <v/>
      </c>
      <c r="Q54" s="254"/>
      <c r="R54" s="254"/>
      <c r="S54" s="254"/>
      <c r="T54" s="254"/>
      <c r="U54" s="255"/>
      <c r="V54" s="225" t="str">
        <f>IF(見積書!V53="","",見積書!V53)</f>
        <v/>
      </c>
      <c r="W54" s="226"/>
      <c r="X54" s="226"/>
      <c r="Y54" s="227"/>
      <c r="Z54" s="228" t="str">
        <f>IF(見積書!Z53="","",見積書!Z53)</f>
        <v/>
      </c>
      <c r="AA54" s="229"/>
      <c r="AB54" s="225" t="str">
        <f t="shared" si="1"/>
        <v/>
      </c>
      <c r="AC54" s="226"/>
      <c r="AD54" s="226"/>
      <c r="AE54" s="226"/>
      <c r="AF54" s="230"/>
      <c r="AG54" s="6"/>
      <c r="AH54" s="34"/>
    </row>
    <row r="55" spans="1:35" ht="13.5" customHeight="1">
      <c r="A55" s="5"/>
      <c r="B55" s="231" t="s">
        <v>13</v>
      </c>
      <c r="C55" s="232"/>
      <c r="D55" s="232"/>
      <c r="E55" s="232"/>
      <c r="F55" s="232"/>
      <c r="G55" s="232"/>
      <c r="H55" s="232"/>
      <c r="I55" s="232"/>
      <c r="J55" s="232"/>
      <c r="K55" s="232"/>
      <c r="L55" s="232"/>
      <c r="M55" s="232"/>
      <c r="N55" s="232"/>
      <c r="O55" s="232"/>
      <c r="P55" s="232"/>
      <c r="Q55" s="232"/>
      <c r="R55" s="232"/>
      <c r="S55" s="232"/>
      <c r="T55" s="232"/>
      <c r="U55" s="232"/>
      <c r="V55" s="232"/>
      <c r="W55" s="232"/>
      <c r="X55" s="232"/>
      <c r="Y55" s="232"/>
      <c r="Z55" s="232"/>
      <c r="AA55" s="233"/>
      <c r="AB55" s="225">
        <f>SUM(AB49:AF54,AB41:AF47)</f>
        <v>0</v>
      </c>
      <c r="AC55" s="226"/>
      <c r="AD55" s="226"/>
      <c r="AE55" s="226"/>
      <c r="AF55" s="230"/>
      <c r="AG55" s="6"/>
      <c r="AH55" s="34"/>
    </row>
    <row r="56" spans="1:35" ht="6" customHeight="1">
      <c r="A56" s="5"/>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6"/>
      <c r="AH56" s="34"/>
    </row>
    <row r="57" spans="1:35" ht="13.5" customHeight="1">
      <c r="A57" s="5"/>
      <c r="B57" s="195" t="s">
        <v>117</v>
      </c>
      <c r="C57" s="195"/>
      <c r="D57" s="195"/>
      <c r="E57" s="195"/>
      <c r="F57" s="195"/>
      <c r="G57" s="195"/>
      <c r="H57" s="84"/>
      <c r="I57" s="302" t="str">
        <f>IF(申込書!I58="","",申込書!I58)</f>
        <v/>
      </c>
      <c r="J57" s="238"/>
      <c r="K57" s="238"/>
      <c r="L57" s="85" t="s">
        <v>126</v>
      </c>
      <c r="M57" s="302" t="str">
        <f>IF(申込書!M58="","",申込書!M58)</f>
        <v/>
      </c>
      <c r="N57" s="238"/>
      <c r="O57" s="86" t="s">
        <v>127</v>
      </c>
      <c r="P57" s="302" t="str">
        <f>IF(申込書!P58="","",申込書!P58)</f>
        <v/>
      </c>
      <c r="Q57" s="238"/>
      <c r="R57" s="86" t="s">
        <v>128</v>
      </c>
      <c r="S57" s="87"/>
      <c r="T57" s="81"/>
      <c r="U57" s="82"/>
      <c r="V57" s="82"/>
      <c r="W57" s="82"/>
      <c r="X57" s="82"/>
      <c r="Y57" s="83"/>
      <c r="Z57" s="80"/>
      <c r="AA57" s="80"/>
      <c r="AB57" s="80"/>
      <c r="AC57" s="80"/>
      <c r="AD57" s="80"/>
      <c r="AE57" s="80"/>
      <c r="AF57" s="80"/>
      <c r="AG57" s="6"/>
      <c r="AH57" s="34"/>
    </row>
    <row r="58" spans="1:35" ht="13.5" customHeight="1">
      <c r="A58" s="5"/>
      <c r="B58" s="149" t="s">
        <v>17</v>
      </c>
      <c r="C58" s="149"/>
      <c r="D58" s="149"/>
      <c r="E58" s="149"/>
      <c r="F58" s="149"/>
      <c r="G58" s="149"/>
      <c r="H58" s="143" t="str">
        <f>見積書!H56</f>
        <v>サービス開始日より１年間とします。ただし、契約期間満了の３か月前までに、お客様またはセコムから相手方に対して文書による別段の意思表示がないときは、契約期間は１年間更新され、その後も同様とします。</v>
      </c>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5"/>
      <c r="AG58" s="6"/>
      <c r="AH58" s="34"/>
    </row>
    <row r="59" spans="1:35" ht="13.5" customHeight="1">
      <c r="A59" s="5"/>
      <c r="B59" s="150"/>
      <c r="C59" s="150"/>
      <c r="D59" s="150"/>
      <c r="E59" s="150"/>
      <c r="F59" s="150"/>
      <c r="G59" s="150"/>
      <c r="H59" s="146"/>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8"/>
      <c r="AG59" s="6"/>
      <c r="AH59" s="34"/>
    </row>
    <row r="60" spans="1:35" ht="6" customHeight="1">
      <c r="A60" s="5"/>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6"/>
      <c r="AH60" s="34"/>
    </row>
    <row r="61" spans="1:35" ht="13.5" hidden="1" customHeight="1">
      <c r="A61" s="5"/>
      <c r="B61" s="282" t="inlineStr">
        <is>
          <t>サービス
提供先</t>
          <rPh sb="5" eb="7">
            <t>テイキョウ</t>
          </rPh>
          <rPh sb="7" eb="8">
            <t>サキ</t>
          </rPh>
          <phoneticPr fontId="2"/>
        </is>
      </c>
      <c r="C61" s="283"/>
      <c r="D61" s="284"/>
      <c r="E61" s="195" t="inlineStr">
        <is>
          <t>ご住所</t>
          <rPh sb="1" eb="3">
            <t>ジュウショ</t>
          </rPh>
          <phoneticPr fontId="2"/>
        </is>
      </c>
      <c r="F61" s="199"/>
      <c r="G61" s="199"/>
      <c r="H61" s="17" t="inlineStr">
        <is>
          <t>〒</t>
          <phoneticPr fontId="2"/>
        </is>
      </c>
      <c r="I61" s="65" t="str">
        <f>IF(申込書!I62="","",申込書!I62)</f>
        <v/>
      </c>
      <c r="J61" s="48" t="inlineStr">
        <is>
          <t>-</t>
          <phoneticPr fontId="2"/>
        </is>
      </c>
      <c r="K61" s="299" t="str">
        <f>IF(申込書!K62="","",申込書!K62)</f>
        <v/>
      </c>
      <c r="L61" s="299"/>
      <c r="M61" s="262" t="inlineStr">
        <is>
          <t>ﾌﾘｶﾞﾅ</t>
          <phoneticPr fontId="2"/>
        </is>
      </c>
      <c r="N61" s="262"/>
      <c r="O61" s="280" t="str">
        <f>IF(申込書!O62="","",申込書!O62)</f>
        <v/>
      </c>
      <c r="P61" s="281"/>
      <c r="Q61" s="281"/>
      <c r="R61" s="281"/>
      <c r="S61" s="281"/>
      <c r="T61" s="281"/>
      <c r="U61" s="281"/>
      <c r="V61" s="281"/>
      <c r="W61" s="281"/>
      <c r="X61" s="281"/>
      <c r="Y61" s="281"/>
      <c r="Z61" s="281"/>
      <c r="AA61" s="281"/>
      <c r="AB61" s="281"/>
      <c r="AC61" s="281"/>
      <c r="AD61" s="281"/>
      <c r="AE61" s="281"/>
      <c r="AF61" s="100"/>
      <c r="AG61" s="6"/>
      <c r="AH61" s="6"/>
      <c r="AI61" s="5"/>
    </row>
    <row r="62" spans="1:35" ht="9.9499999999999993" hidden="1" customHeight="1">
      <c r="A62" s="5"/>
      <c r="B62" s="285"/>
      <c r="C62" s="286"/>
      <c r="D62" s="287"/>
      <c r="E62" s="199"/>
      <c r="F62" s="199"/>
      <c r="G62" s="199"/>
      <c r="H62" s="277" t="str">
        <f>IF(申込書!H63="","",申込書!H63)</f>
        <v/>
      </c>
      <c r="I62" s="278"/>
      <c r="J62" s="278"/>
      <c r="K62" s="278"/>
      <c r="L62" s="278"/>
      <c r="M62" s="278"/>
      <c r="N62" s="278"/>
      <c r="O62" s="278"/>
      <c r="P62" s="278"/>
      <c r="Q62" s="278"/>
      <c r="R62" s="278"/>
      <c r="S62" s="278"/>
      <c r="T62" s="278"/>
      <c r="U62" s="278"/>
      <c r="V62" s="278"/>
      <c r="W62" s="278"/>
      <c r="X62" s="278"/>
      <c r="Y62" s="278"/>
      <c r="Z62" s="278"/>
      <c r="AA62" s="278"/>
      <c r="AB62" s="278"/>
      <c r="AC62" s="278"/>
      <c r="AD62" s="278"/>
      <c r="AE62" s="278"/>
      <c r="AF62" s="279"/>
      <c r="AG62" s="6"/>
      <c r="AH62" s="6"/>
      <c r="AI62" s="5"/>
    </row>
    <row r="63" spans="1:35" ht="9.9499999999999993" hidden="1" customHeight="1">
      <c r="A63" s="5"/>
      <c r="B63" s="285"/>
      <c r="C63" s="286"/>
      <c r="D63" s="287"/>
      <c r="E63" s="199"/>
      <c r="F63" s="199"/>
      <c r="G63" s="199"/>
      <c r="H63" s="270"/>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2"/>
      <c r="AG63" s="6"/>
      <c r="AH63" s="6"/>
      <c r="AI63" s="5"/>
    </row>
    <row r="64" spans="1:35" ht="9.9499999999999993" hidden="1" customHeight="1">
      <c r="A64" s="5"/>
      <c r="B64" s="285"/>
      <c r="C64" s="286"/>
      <c r="D64" s="287"/>
      <c r="E64" s="195" t="inlineStr">
        <is>
          <t>ご名称</t>
          <rPh sb="1" eb="3">
            <t>メイショウ</t>
          </rPh>
          <phoneticPr fontId="2"/>
        </is>
      </c>
      <c r="F64" s="199"/>
      <c r="G64" s="199"/>
      <c r="H64" s="267" t="str">
        <f>IF(申込書!H65="","",申込書!H65)</f>
        <v/>
      </c>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9"/>
      <c r="AG64" s="6"/>
      <c r="AH64" s="6"/>
      <c r="AI64" s="5"/>
    </row>
    <row r="65" spans="1:35" ht="9.9499999999999993" hidden="1" customHeight="1">
      <c r="A65" s="5"/>
      <c r="B65" s="288"/>
      <c r="C65" s="289"/>
      <c r="D65" s="290"/>
      <c r="E65" s="199"/>
      <c r="F65" s="199"/>
      <c r="G65" s="199"/>
      <c r="H65" s="270"/>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2"/>
      <c r="AG65" s="6"/>
      <c r="AH65" s="6"/>
      <c r="AI65" s="5"/>
    </row>
    <row r="66" spans="1:35" ht="11.25" hidden="1">
      <c r="A66" s="5"/>
      <c r="B66" s="263" t="inlineStr">
        <is>
          <t>※本サービスを利用する法人がお客様と異なる場合に記載します。</t>
          <phoneticPr fontId="2"/>
        </is>
      </c>
      <c r="C66" s="264"/>
      <c r="D66" s="264"/>
      <c r="E66" s="264"/>
      <c r="F66" s="264"/>
      <c r="G66" s="264"/>
      <c r="H66" s="264"/>
      <c r="I66" s="264"/>
      <c r="J66" s="264"/>
      <c r="K66" s="264"/>
      <c r="L66" s="264"/>
      <c r="M66" s="264"/>
      <c r="N66" s="264"/>
      <c r="O66" s="264"/>
      <c r="P66" s="264"/>
      <c r="Q66" s="264"/>
      <c r="R66" s="264"/>
      <c r="S66" s="264"/>
      <c r="T66" s="264"/>
      <c r="U66" s="264"/>
      <c r="V66" s="264"/>
      <c r="W66" s="264"/>
      <c r="X66" s="264"/>
      <c r="Y66" s="264"/>
      <c r="Z66" s="264"/>
      <c r="AA66" s="264"/>
      <c r="AB66" s="264"/>
      <c r="AC66" s="264"/>
      <c r="AD66" s="264"/>
      <c r="AE66" s="264"/>
      <c r="AF66" s="264"/>
      <c r="AG66" s="6"/>
      <c r="AH66" s="34"/>
    </row>
    <row r="67" spans="1:35" ht="6" hidden="1" customHeight="1">
      <c r="A67" s="5"/>
      <c r="B67" s="49"/>
      <c r="C67" s="49"/>
      <c r="D67" s="49"/>
      <c r="E67" s="49"/>
      <c r="F67" s="49"/>
      <c r="G67" s="49"/>
      <c r="H67" s="2"/>
      <c r="I67" s="2"/>
      <c r="J67" s="2"/>
      <c r="K67" s="2"/>
      <c r="L67" s="2"/>
      <c r="M67" s="2"/>
      <c r="N67" s="2"/>
      <c r="O67" s="2"/>
      <c r="P67" s="2"/>
      <c r="Q67" s="2"/>
      <c r="R67" s="2"/>
      <c r="S67" s="2"/>
      <c r="T67" s="2"/>
      <c r="U67" s="2"/>
      <c r="V67" s="2"/>
      <c r="W67" s="2"/>
      <c r="X67" s="2"/>
      <c r="Y67" s="2"/>
      <c r="Z67" s="2"/>
      <c r="AA67" s="2"/>
      <c r="AB67" s="2"/>
      <c r="AC67" s="2"/>
      <c r="AD67" s="2"/>
      <c r="AE67" s="2"/>
      <c r="AF67" s="2"/>
      <c r="AG67" s="6"/>
      <c r="AH67" s="34"/>
    </row>
    <row r="68" spans="1:35" ht="13.5" customHeight="1">
      <c r="A68" s="5"/>
      <c r="B68" s="149" t="s">
        <v>118</v>
      </c>
      <c r="C68" s="149"/>
      <c r="D68" s="149"/>
      <c r="E68" s="149"/>
      <c r="F68" s="149"/>
      <c r="G68" s="149"/>
      <c r="H68" s="2"/>
      <c r="I68" s="2"/>
      <c r="J68" s="2"/>
      <c r="K68" s="2"/>
      <c r="L68" s="2"/>
      <c r="M68" s="2"/>
      <c r="N68" s="2"/>
      <c r="O68" s="2"/>
      <c r="P68" s="2"/>
      <c r="Q68" s="2"/>
      <c r="R68" s="2"/>
      <c r="S68" s="2"/>
      <c r="T68" s="2"/>
      <c r="U68" s="2"/>
      <c r="V68" s="2"/>
      <c r="W68" s="2"/>
      <c r="X68" s="2"/>
      <c r="Y68" s="2"/>
      <c r="Z68" s="2"/>
      <c r="AA68" s="2"/>
      <c r="AB68" s="2"/>
      <c r="AC68" s="2"/>
      <c r="AD68" s="2"/>
      <c r="AE68" s="2"/>
      <c r="AF68" s="2"/>
      <c r="AG68" s="6"/>
      <c r="AH68" s="34"/>
    </row>
    <row r="69" spans="1:35" s="9" customFormat="1" ht="11.25" customHeight="1">
      <c r="A69" s="7"/>
      <c r="B69" s="10" t="s">
        <v>19</v>
      </c>
      <c r="C69" s="138" t="str">
        <f>見積書!C60</f>
        <v>月額料金の請求開始日は、サービス開始日の属する月の１日とします。</v>
      </c>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40"/>
      <c r="AG69" s="8"/>
      <c r="AH69" s="35"/>
      <c r="AI69" s="40"/>
    </row>
    <row r="70" spans="1:35" s="9" customFormat="1" ht="11.25" customHeight="1">
      <c r="A70" s="7"/>
      <c r="B70" s="11" t="s">
        <v>19</v>
      </c>
      <c r="C70" s="141" t="str">
        <f>見積書!C61</f>
        <v>サービス終了月の月額料金については、その日数の長短にかかわらず、１か月分全額お支払いいただきます。</v>
      </c>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42"/>
      <c r="AG70" s="8"/>
      <c r="AH70" s="35"/>
      <c r="AI70" s="40"/>
    </row>
    <row r="71" spans="1:35" s="9" customFormat="1" ht="11.25" customHeight="1">
      <c r="A71" s="7"/>
      <c r="B71" s="11" t="s">
        <v>19</v>
      </c>
      <c r="C71" s="141" t="str">
        <f>見積書!C62</f>
        <v>詳細は、「あんしん電話当番サービス サービス記述書」に定めます。</v>
      </c>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42"/>
      <c r="AG71" s="8"/>
      <c r="AH71" s="35"/>
      <c r="AI71" s="40"/>
    </row>
    <row r="72" spans="1:35" s="9" customFormat="1" ht="11.25" customHeight="1">
      <c r="A72" s="7"/>
      <c r="B72" s="303" t="str">
        <f>IF(申込書!B73="","",申込書!B73)</f>
        <v>〇</v>
      </c>
      <c r="C72" s="292" t="str">
        <f>IF(申込書!C73="","",申込書!C73)</f>
        <v>口座振替の振替日が10日の場合、支払時期は「請求期間開始後2か月以内」になります。
また、振替日が20日で1月など月初に土日祝日が連続する場合、当月分の支払時期は「請求期間開始後2か月以内」になる場合があります。</v>
      </c>
      <c r="D72" s="293"/>
      <c r="E72" s="293"/>
      <c r="F72" s="293"/>
      <c r="G72" s="293"/>
      <c r="H72" s="293"/>
      <c r="I72" s="293"/>
      <c r="J72" s="293"/>
      <c r="K72" s="293"/>
      <c r="L72" s="293"/>
      <c r="M72" s="293"/>
      <c r="N72" s="293"/>
      <c r="O72" s="293"/>
      <c r="P72" s="293"/>
      <c r="Q72" s="293"/>
      <c r="R72" s="293"/>
      <c r="S72" s="293"/>
      <c r="T72" s="293"/>
      <c r="U72" s="293"/>
      <c r="V72" s="293"/>
      <c r="W72" s="293"/>
      <c r="X72" s="293"/>
      <c r="Y72" s="293"/>
      <c r="Z72" s="293"/>
      <c r="AA72" s="293"/>
      <c r="AB72" s="293"/>
      <c r="AC72" s="293"/>
      <c r="AD72" s="293"/>
      <c r="AE72" s="293"/>
      <c r="AF72" s="294"/>
      <c r="AG72" s="8"/>
      <c r="AH72" s="35"/>
      <c r="AI72" s="40"/>
    </row>
    <row r="73" spans="1:35" s="9" customFormat="1" ht="11.25" customHeight="1">
      <c r="A73" s="7"/>
      <c r="B73" s="304"/>
      <c r="C73" s="293"/>
      <c r="D73" s="293"/>
      <c r="E73" s="293"/>
      <c r="F73" s="293"/>
      <c r="G73" s="293"/>
      <c r="H73" s="293"/>
      <c r="I73" s="293"/>
      <c r="J73" s="293"/>
      <c r="K73" s="293"/>
      <c r="L73" s="293"/>
      <c r="M73" s="293"/>
      <c r="N73" s="293"/>
      <c r="O73" s="293"/>
      <c r="P73" s="293"/>
      <c r="Q73" s="293"/>
      <c r="R73" s="293"/>
      <c r="S73" s="293"/>
      <c r="T73" s="293"/>
      <c r="U73" s="293"/>
      <c r="V73" s="293"/>
      <c r="W73" s="293"/>
      <c r="X73" s="293"/>
      <c r="Y73" s="293"/>
      <c r="Z73" s="293"/>
      <c r="AA73" s="293"/>
      <c r="AB73" s="293"/>
      <c r="AC73" s="293"/>
      <c r="AD73" s="293"/>
      <c r="AE73" s="293"/>
      <c r="AF73" s="294"/>
      <c r="AG73" s="8"/>
      <c r="AH73" s="35"/>
      <c r="AI73" s="40"/>
    </row>
    <row r="74" spans="1:35" s="9" customFormat="1" ht="11.25" customHeight="1">
      <c r="A74" s="7"/>
      <c r="B74" s="11" t="str">
        <f>IF(申込書!B75="","",申込書!B75)</f>
        <v/>
      </c>
      <c r="C74" s="141" t="str">
        <f>IF(申込書!C75="","",申込書!C75)</f>
        <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1"/>
      <c r="AB74" s="131"/>
      <c r="AC74" s="131"/>
      <c r="AD74" s="131"/>
      <c r="AE74" s="131"/>
      <c r="AF74" s="142"/>
      <c r="AG74" s="8"/>
      <c r="AH74" s="35"/>
      <c r="AI74" s="40"/>
    </row>
    <row r="75" spans="1:35" s="9" customFormat="1" ht="11.25" customHeight="1">
      <c r="A75" s="7"/>
      <c r="B75" s="12" t="str">
        <f>IF(申込書!B76="","",申込書!B76)</f>
        <v/>
      </c>
      <c r="C75" s="274" t="str">
        <f>IF(申込書!C76="","",申込書!C76)</f>
        <v/>
      </c>
      <c r="D75" s="275"/>
      <c r="E75" s="275"/>
      <c r="F75" s="275"/>
      <c r="G75" s="275"/>
      <c r="H75" s="275"/>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6"/>
      <c r="AG75" s="8"/>
      <c r="AH75" s="35"/>
      <c r="AI75" s="40"/>
    </row>
    <row r="76" spans="1:35" s="9" customFormat="1" ht="6" customHeight="1">
      <c r="A76" s="7"/>
      <c r="AG76" s="8"/>
      <c r="AH76" s="35"/>
      <c r="AI76" s="40"/>
    </row>
    <row r="77" spans="1:35" ht="11.25" customHeight="1">
      <c r="A77" s="5"/>
      <c r="B77" s="133" t="s">
        <v>24</v>
      </c>
      <c r="C77" s="134"/>
      <c r="D77" s="134"/>
      <c r="E77" s="46"/>
      <c r="F77" s="46"/>
      <c r="G77" s="46"/>
      <c r="H77" s="46"/>
      <c r="I77" s="46"/>
      <c r="J77" s="46"/>
      <c r="K77" s="46"/>
      <c r="L77" s="46"/>
      <c r="M77" s="46"/>
      <c r="N77" s="46"/>
      <c r="O77" s="46"/>
      <c r="P77" s="46"/>
      <c r="Q77" s="46"/>
      <c r="R77" s="46"/>
      <c r="S77" s="46"/>
      <c r="T77" s="46"/>
      <c r="U77" s="46"/>
      <c r="V77" s="46"/>
      <c r="W77" s="46"/>
      <c r="X77" s="46"/>
      <c r="Y77" s="46"/>
      <c r="Z77" s="46"/>
      <c r="AA77" s="46"/>
      <c r="AB77" s="46"/>
      <c r="AC77" s="46"/>
      <c r="AF77" s="31" t="str">
        <f>IF(AND(見積書!S3&lt;&gt;"",見積書!U3&lt;&gt;""),CONCATENATE(見積書!S3,見積書!T3,見積書!U3),"")</f>
        <v/>
      </c>
      <c r="AG77" s="6"/>
      <c r="AH77" s="34"/>
    </row>
    <row r="78" spans="1:35" ht="13.5" customHeight="1">
      <c r="A78" s="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34"/>
    </row>
    <row r="79" spans="1:35" ht="13.5" hidden="1" customHeight="1">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6"/>
      <c r="AH79" s="34"/>
    </row>
    <row r="80" spans="1:35" ht="13.5" hidden="1" customHeight="1">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6"/>
      <c r="AH80" s="34"/>
    </row>
    <row r="81" spans="1:38" ht="13.5" hidden="1" customHeight="1">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6"/>
      <c r="AH81" s="34"/>
    </row>
    <row r="82" spans="1:38" s="32" customFormat="1" ht="13.5" hidden="1" customHeight="1">
      <c r="A82" s="1"/>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6"/>
      <c r="AH82" s="34"/>
      <c r="AI82" s="28"/>
      <c r="AJ82" s="1"/>
      <c r="AK82" s="1"/>
      <c r="AL82" s="1"/>
    </row>
    <row r="83" spans="1:38" s="32" customFormat="1" ht="13.5" hidden="1" customHeight="1">
      <c r="A83" s="1"/>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6"/>
      <c r="AH83" s="34"/>
      <c r="AI83" s="28"/>
      <c r="AJ83" s="1"/>
      <c r="AK83" s="1"/>
      <c r="AL83" s="1"/>
    </row>
    <row r="84" spans="1:38" s="32" customFormat="1" ht="13.5" hidden="1" customHeight="1">
      <c r="A84" s="1"/>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6"/>
      <c r="AH84" s="34"/>
      <c r="AI84" s="28"/>
      <c r="AJ84" s="1"/>
      <c r="AK84" s="1"/>
      <c r="AL84" s="1"/>
    </row>
    <row r="85" spans="1:38" s="32" customFormat="1" ht="13.5" hidden="1" customHeight="1">
      <c r="A85" s="1"/>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6"/>
      <c r="AH85" s="34"/>
      <c r="AI85" s="28"/>
      <c r="AJ85" s="1"/>
      <c r="AK85" s="1"/>
      <c r="AL85" s="1"/>
    </row>
    <row r="86" spans="1:38" s="32" customFormat="1" ht="13.5" hidden="1" customHeight="1">
      <c r="A86" s="1"/>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6"/>
      <c r="AH86" s="34"/>
      <c r="AI86" s="28"/>
      <c r="AJ86" s="1"/>
      <c r="AK86" s="1"/>
      <c r="AL86" s="1"/>
    </row>
    <row r="87" spans="1:38" s="32" customFormat="1" ht="13.5" hidden="1" customHeight="1">
      <c r="A87" s="1"/>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6"/>
      <c r="AH87" s="34"/>
      <c r="AI87" s="28"/>
      <c r="AJ87" s="1"/>
      <c r="AK87" s="1"/>
      <c r="AL87" s="1"/>
    </row>
    <row r="88" spans="1:38" ht="13.5" hidden="1" customHeight="1"/>
    <row r="89" spans="1:38" ht="13.5" hidden="1" customHeight="1"/>
    <row r="90" spans="1:38" ht="13.5" hidden="1" customHeight="1"/>
    <row r="91" spans="1:38" ht="13.5" hidden="1" customHeight="1"/>
    <row r="92" spans="1:38" ht="13.5" hidden="1" customHeight="1"/>
    <row r="93" spans="1:38" ht="13.5" hidden="1" customHeight="1"/>
    <row r="94" spans="1:38" ht="13.5" hidden="1" customHeight="1"/>
    <row r="95" spans="1:38" ht="13.5" hidden="1" customHeight="1"/>
    <row r="96" spans="1:38" ht="13.5" hidden="1" customHeight="1"/>
    <row r="97" ht="13.5" hidden="1" customHeight="1"/>
    <row r="98" ht="13.5" hidden="1" customHeight="1"/>
    <row r="99" ht="13.5" hidden="1" customHeight="1"/>
    <row r="100" ht="13.5" hidden="1" customHeight="1"/>
    <row r="101" ht="13.5" hidden="1" customHeight="1"/>
    <row r="102" ht="13.5" hidden="1" customHeight="1"/>
    <row r="103" ht="13.5" hidden="1" customHeight="1"/>
    <row r="104" ht="13.5" hidden="1" customHeight="1"/>
    <row r="105" ht="13.5" hidden="1" customHeight="1"/>
    <row r="106" ht="13.5" hidden="1" customHeight="1"/>
    <row r="107" ht="13.5" hidden="1" customHeight="1"/>
    <row r="108" ht="13.5" hidden="1" customHeight="1"/>
    <row r="109" ht="13.5" hidden="1" customHeight="1"/>
    <row r="110" ht="13.5" hidden="1" customHeight="1"/>
    <row r="111" ht="13.5" hidden="1" customHeight="1"/>
    <row r="112" ht="13.5" hidden="1" customHeight="1"/>
    <row r="113" ht="13.5" hidden="1" customHeight="1"/>
    <row r="114" ht="13.5" hidden="1" customHeight="1"/>
    <row r="115" ht="13.5" hidden="1" customHeight="1"/>
    <row r="116" ht="13.5" hidden="1" customHeight="1"/>
    <row r="117" ht="13.5" hidden="1" customHeight="1"/>
    <row r="118" ht="13.5" hidden="1" customHeight="1"/>
    <row r="119" ht="13.5" hidden="1" customHeight="1"/>
    <row r="120" ht="13.5" hidden="1" customHeight="1"/>
    <row r="121" ht="13.5" hidden="1" customHeight="1"/>
    <row r="122" ht="13.5" hidden="1" customHeight="1"/>
    <row r="123" ht="13.5" hidden="1" customHeight="1"/>
    <row r="124" ht="13.5" hidden="1" customHeight="1"/>
    <row r="125" ht="13.5" hidden="1" customHeight="1"/>
    <row r="126" ht="13.5" hidden="1" customHeight="1"/>
    <row r="127" ht="13.5" hidden="1" customHeight="1"/>
    <row r="128" ht="13.5" hidden="1" customHeight="1"/>
    <row r="129" ht="13.5" hidden="1" customHeight="1"/>
    <row r="130" ht="13.5" hidden="1" customHeight="1"/>
  </sheetData>
  <mergeCells count="171">
    <mergeCell ref="B72:B73"/>
    <mergeCell ref="C72:AF73"/>
    <mergeCell ref="C74:AF74"/>
    <mergeCell ref="C75:AF75"/>
    <mergeCell ref="B4:AF5"/>
    <mergeCell ref="Z26:AF26"/>
    <mergeCell ref="B27:G27"/>
    <mergeCell ref="R27:Y27"/>
    <mergeCell ref="Z27:AB27"/>
    <mergeCell ref="AC27:AF27"/>
    <mergeCell ref="B21:Q21"/>
    <mergeCell ref="R21:AF21"/>
    <mergeCell ref="B22:Q22"/>
    <mergeCell ref="R22:AF22"/>
    <mergeCell ref="R24:AF24"/>
    <mergeCell ref="R25:Y25"/>
    <mergeCell ref="Z25:AF25"/>
    <mergeCell ref="W12:AF12"/>
    <mergeCell ref="W13:AF13"/>
    <mergeCell ref="W14:AF14"/>
    <mergeCell ref="V17:W17"/>
    <mergeCell ref="V18:W18"/>
    <mergeCell ref="B24:Q25"/>
    <mergeCell ref="H26:Q26"/>
    <mergeCell ref="H27:Q27"/>
    <mergeCell ref="B36:U36"/>
    <mergeCell ref="V36:Y36"/>
    <mergeCell ref="Z36:AA36"/>
    <mergeCell ref="AB36:AF36"/>
    <mergeCell ref="B28:AF28"/>
    <mergeCell ref="B29:AF29"/>
    <mergeCell ref="B30:AF30"/>
    <mergeCell ref="B32:G32"/>
    <mergeCell ref="B33:G33"/>
    <mergeCell ref="H33:U33"/>
    <mergeCell ref="V33:Y33"/>
    <mergeCell ref="B26:G26"/>
    <mergeCell ref="R26:Y26"/>
    <mergeCell ref="Z33:AA33"/>
    <mergeCell ref="AB33:AF33"/>
    <mergeCell ref="B37:AA37"/>
    <mergeCell ref="AB37:AF37"/>
    <mergeCell ref="B34:U34"/>
    <mergeCell ref="V34:Y34"/>
    <mergeCell ref="Z34:AA34"/>
    <mergeCell ref="AB34:AF34"/>
    <mergeCell ref="B35:U35"/>
    <mergeCell ref="V35:Y35"/>
    <mergeCell ref="Z35:AA35"/>
    <mergeCell ref="AB35:AF35"/>
    <mergeCell ref="B39:G39"/>
    <mergeCell ref="H39:U39"/>
    <mergeCell ref="V39:Y39"/>
    <mergeCell ref="Z39:AA39"/>
    <mergeCell ref="AB39:AF39"/>
    <mergeCell ref="B40:G40"/>
    <mergeCell ref="H40:O40"/>
    <mergeCell ref="P40:U40"/>
    <mergeCell ref="V40:Y40"/>
    <mergeCell ref="Z40:AA40"/>
    <mergeCell ref="B42:G42"/>
    <mergeCell ref="H42:O42"/>
    <mergeCell ref="P42:U42"/>
    <mergeCell ref="V42:Y42"/>
    <mergeCell ref="Z42:AA42"/>
    <mergeCell ref="AB42:AF42"/>
    <mergeCell ref="AB40:AF40"/>
    <mergeCell ref="B41:G41"/>
    <mergeCell ref="H41:O41"/>
    <mergeCell ref="P41:U41"/>
    <mergeCell ref="V41:Y41"/>
    <mergeCell ref="Z41:AA41"/>
    <mergeCell ref="AB41:AF41"/>
    <mergeCell ref="B44:G44"/>
    <mergeCell ref="H44:O44"/>
    <mergeCell ref="P44:U44"/>
    <mergeCell ref="V44:Y44"/>
    <mergeCell ref="Z44:AA44"/>
    <mergeCell ref="AB44:AF44"/>
    <mergeCell ref="B43:G43"/>
    <mergeCell ref="H43:O43"/>
    <mergeCell ref="P43:U43"/>
    <mergeCell ref="V43:Y43"/>
    <mergeCell ref="Z43:AA43"/>
    <mergeCell ref="AB43:AF43"/>
    <mergeCell ref="B46:G46"/>
    <mergeCell ref="H46:O46"/>
    <mergeCell ref="P46:U46"/>
    <mergeCell ref="V46:Y46"/>
    <mergeCell ref="Z46:AA46"/>
    <mergeCell ref="AB46:AF46"/>
    <mergeCell ref="B45:G45"/>
    <mergeCell ref="H45:O45"/>
    <mergeCell ref="P45:U45"/>
    <mergeCell ref="V45:Y45"/>
    <mergeCell ref="Z45:AA45"/>
    <mergeCell ref="AB45:AF45"/>
    <mergeCell ref="B48:G48"/>
    <mergeCell ref="H48:O48"/>
    <mergeCell ref="P48:U48"/>
    <mergeCell ref="V48:Y48"/>
    <mergeCell ref="Z48:AA48"/>
    <mergeCell ref="AB48:AF48"/>
    <mergeCell ref="B47:G47"/>
    <mergeCell ref="H47:O47"/>
    <mergeCell ref="P47:U47"/>
    <mergeCell ref="V47:Y47"/>
    <mergeCell ref="Z47:AA47"/>
    <mergeCell ref="AB47:AF47"/>
    <mergeCell ref="B50:G50"/>
    <mergeCell ref="H50:O50"/>
    <mergeCell ref="P50:U50"/>
    <mergeCell ref="V50:Y50"/>
    <mergeCell ref="Z50:AA50"/>
    <mergeCell ref="AB50:AF50"/>
    <mergeCell ref="B49:G49"/>
    <mergeCell ref="H49:O49"/>
    <mergeCell ref="P49:U49"/>
    <mergeCell ref="V49:Y49"/>
    <mergeCell ref="Z49:AA49"/>
    <mergeCell ref="AB49:AF49"/>
    <mergeCell ref="B52:G52"/>
    <mergeCell ref="H52:O52"/>
    <mergeCell ref="P52:U52"/>
    <mergeCell ref="V52:Y52"/>
    <mergeCell ref="Z52:AA52"/>
    <mergeCell ref="AB52:AF52"/>
    <mergeCell ref="B51:G51"/>
    <mergeCell ref="H51:O51"/>
    <mergeCell ref="P51:U51"/>
    <mergeCell ref="V51:Y51"/>
    <mergeCell ref="Z51:AA51"/>
    <mergeCell ref="AB51:AF51"/>
    <mergeCell ref="M57:N57"/>
    <mergeCell ref="P57:Q57"/>
    <mergeCell ref="B54:G54"/>
    <mergeCell ref="H54:O54"/>
    <mergeCell ref="P54:U54"/>
    <mergeCell ref="V54:Y54"/>
    <mergeCell ref="Z54:AA54"/>
    <mergeCell ref="AB54:AF54"/>
    <mergeCell ref="B53:G53"/>
    <mergeCell ref="H53:O53"/>
    <mergeCell ref="P53:U53"/>
    <mergeCell ref="V53:Y53"/>
    <mergeCell ref="Z53:AA53"/>
    <mergeCell ref="AB53:AF53"/>
    <mergeCell ref="B77:D77"/>
    <mergeCell ref="X7:AA7"/>
    <mergeCell ref="AC7:AF7"/>
    <mergeCell ref="B9:AF10"/>
    <mergeCell ref="B66:AF66"/>
    <mergeCell ref="B68:G68"/>
    <mergeCell ref="C69:AF69"/>
    <mergeCell ref="C70:AF70"/>
    <mergeCell ref="C71:AF71"/>
    <mergeCell ref="B58:G59"/>
    <mergeCell ref="H58:AF59"/>
    <mergeCell ref="B61:D65"/>
    <mergeCell ref="E61:G63"/>
    <mergeCell ref="K61:L61"/>
    <mergeCell ref="M61:N61"/>
    <mergeCell ref="O61:AF61"/>
    <mergeCell ref="H62:AF63"/>
    <mergeCell ref="E64:G65"/>
    <mergeCell ref="H64:AF65"/>
    <mergeCell ref="B17:C17"/>
    <mergeCell ref="B55:AA55"/>
    <mergeCell ref="AB55:AF55"/>
    <mergeCell ref="B57:G57"/>
    <mergeCell ref="I57:K57"/>
  </mergeCells>
  <phoneticPr fontId="2"/>
  <printOptions horizontalCentered="1" verticalCentered="1"/>
  <pageMargins left="0.70866141732283472" right="0.31496062992125984" top="0.35433070866141736" bottom="0.15748031496062992"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L115"/>
  <sheetViews>
    <sheetView showGridLines="0" showRowColHeaders="0" zoomScaleNormal="100" workbookViewId="0">
      <selection activeCell="U11" sqref="U11:AD11"/>
    </sheetView>
  </sheetViews>
  <sheetFormatPr defaultColWidth="0" defaultRowHeight="13.5" customHeight="1" zeroHeight="1"/>
  <cols>
    <col min="1" max="32" width="3" style="1" customWidth="1"/>
    <col min="33" max="33" width="3" style="5" customWidth="1"/>
    <col min="34" max="35" width="3" style="28" customWidth="1"/>
    <col min="36" max="36" width="7.375" style="1" hidden="1" customWidth="1"/>
    <col min="37" max="37" width="15.125" style="1" hidden="1" customWidth="1"/>
    <col min="38" max="38" width="8.5" style="1" hidden="1" customWidth="1"/>
    <col min="39" max="16384" width="3" style="1" hidden="1"/>
  </cols>
  <sheetData>
    <row r="1" spans="1:35" ht="25.5" customHeight="1">
      <c r="A1" s="5"/>
      <c r="B1" s="36" t="s">
        <v>139</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row>
    <row r="2" spans="1:35" ht="13.5" customHeight="1">
      <c r="A2" s="5"/>
      <c r="B2" s="55" t="s">
        <v>111</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row>
    <row r="3" spans="1:35" ht="9.75"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row>
    <row r="4" spans="1:35" ht="9.9499999999999993" customHeight="1">
      <c r="A4" s="5"/>
      <c r="B4" s="187" t="s">
        <v>140</v>
      </c>
      <c r="C4" s="188"/>
      <c r="D4" s="188"/>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6"/>
      <c r="AH4" s="34"/>
    </row>
    <row r="5" spans="1:35" ht="9.9499999999999993" customHeight="1">
      <c r="A5" s="5"/>
      <c r="B5" s="188"/>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6"/>
      <c r="AH5" s="34"/>
    </row>
    <row r="6" spans="1:35" ht="9.9499999999999993" customHeight="1">
      <c r="A6" s="5"/>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6"/>
      <c r="AH6" s="6"/>
      <c r="AI6" s="5"/>
    </row>
    <row r="7" spans="1:35" ht="12" customHeight="1">
      <c r="A7" s="5"/>
      <c r="B7" s="2"/>
      <c r="C7" s="2"/>
      <c r="D7" s="2"/>
      <c r="E7" s="2"/>
      <c r="F7" s="2"/>
      <c r="G7" s="2"/>
      <c r="H7" s="2"/>
      <c r="I7" s="2"/>
      <c r="J7" s="2"/>
      <c r="K7" s="2"/>
      <c r="L7" s="2"/>
      <c r="M7" s="2"/>
      <c r="N7" s="2"/>
      <c r="O7" s="2"/>
      <c r="P7" s="2"/>
      <c r="Q7" s="2"/>
      <c r="R7" s="2"/>
      <c r="S7" s="2"/>
      <c r="T7" s="2"/>
      <c r="U7" s="2"/>
      <c r="V7" s="2"/>
      <c r="W7" s="311" t="s">
        <v>144</v>
      </c>
      <c r="X7" s="131"/>
      <c r="Y7" s="131"/>
      <c r="Z7" s="311"/>
      <c r="AA7" s="312"/>
      <c r="AB7" s="63" t="s">
        <v>126</v>
      </c>
      <c r="AC7" s="63"/>
      <c r="AD7" s="63" t="s">
        <v>127</v>
      </c>
      <c r="AE7" s="63"/>
      <c r="AF7" s="63" t="s">
        <v>128</v>
      </c>
      <c r="AG7" s="6"/>
      <c r="AH7" s="6"/>
      <c r="AI7" s="5"/>
    </row>
    <row r="8" spans="1:35" ht="13.5" customHeight="1">
      <c r="A8" s="5"/>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6"/>
      <c r="AH8" s="6"/>
      <c r="AI8" s="5"/>
    </row>
    <row r="9" spans="1:35" ht="13.5" customHeight="1">
      <c r="A9" s="5"/>
      <c r="B9" s="2" t="s">
        <v>141</v>
      </c>
      <c r="C9" s="2"/>
      <c r="D9" s="2"/>
      <c r="E9" s="2"/>
      <c r="F9" s="2"/>
      <c r="G9" s="2"/>
      <c r="H9" s="2"/>
      <c r="I9" s="2"/>
      <c r="J9" s="2"/>
      <c r="K9" s="2"/>
      <c r="L9" s="2"/>
      <c r="M9" s="2"/>
      <c r="N9" s="2"/>
      <c r="O9" s="2"/>
      <c r="P9" s="2"/>
      <c r="Q9" s="2"/>
      <c r="R9" s="2"/>
      <c r="S9" s="2" t="s">
        <v>143</v>
      </c>
      <c r="T9" s="2"/>
      <c r="U9" s="2"/>
      <c r="V9" s="2"/>
      <c r="W9" s="2"/>
      <c r="X9" s="2"/>
      <c r="Y9" s="2"/>
      <c r="Z9" s="2"/>
      <c r="AA9" s="2"/>
      <c r="AB9" s="2"/>
      <c r="AC9" s="2"/>
      <c r="AD9" s="2"/>
      <c r="AE9" s="2"/>
      <c r="AF9" s="2"/>
      <c r="AG9" s="6"/>
      <c r="AH9" s="6"/>
      <c r="AI9" s="5"/>
    </row>
    <row r="10" spans="1:35" ht="11.25" customHeight="1">
      <c r="A10" s="5"/>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6"/>
      <c r="AH10" s="6"/>
      <c r="AI10" s="5"/>
    </row>
    <row r="11" spans="1:35">
      <c r="A11" s="5"/>
      <c r="B11" s="2"/>
      <c r="C11" s="2"/>
      <c r="N11" s="2"/>
      <c r="O11" s="2"/>
      <c r="P11" s="2"/>
      <c r="Q11" s="2"/>
      <c r="R11" s="2"/>
      <c r="S11" s="2"/>
      <c r="U11" s="305" t="s">
        <v>136</v>
      </c>
      <c r="V11" s="278"/>
      <c r="W11" s="278"/>
      <c r="X11" s="278"/>
      <c r="Y11" s="278"/>
      <c r="Z11" s="278"/>
      <c r="AA11" s="278"/>
      <c r="AB11" s="278"/>
      <c r="AC11" s="278"/>
      <c r="AD11" s="278"/>
      <c r="AE11" s="2"/>
      <c r="AF11" s="2"/>
      <c r="AG11" s="6"/>
      <c r="AH11" s="6"/>
      <c r="AI11" s="5"/>
    </row>
    <row r="12" spans="1:35" ht="17.25" customHeight="1">
      <c r="A12" s="5"/>
      <c r="B12" s="2"/>
      <c r="C12" s="2"/>
      <c r="N12" s="2"/>
      <c r="O12" s="2"/>
      <c r="P12" s="2"/>
      <c r="Q12" s="2"/>
      <c r="R12" s="2"/>
      <c r="S12" s="2"/>
      <c r="U12" s="308" t="str">
        <f>見積書!Y11</f>
        <v>セコム株式会社</v>
      </c>
      <c r="V12" s="309"/>
      <c r="W12" s="309"/>
      <c r="X12" s="309"/>
      <c r="Y12" s="309"/>
      <c r="Z12" s="309"/>
      <c r="AA12" s="309"/>
      <c r="AB12" s="309"/>
      <c r="AC12" s="309"/>
      <c r="AD12" s="309"/>
      <c r="AE12" s="2"/>
      <c r="AF12" s="2"/>
      <c r="AG12" s="6"/>
      <c r="AH12" s="6"/>
      <c r="AI12" s="5"/>
    </row>
    <row r="13" spans="1:35" ht="13.5" customHeight="1">
      <c r="A13" s="5"/>
      <c r="B13" s="2"/>
      <c r="C13" s="2"/>
      <c r="N13" s="2"/>
      <c r="O13" s="2"/>
      <c r="P13" s="2"/>
      <c r="Q13" s="2"/>
      <c r="R13" s="2"/>
      <c r="S13" s="2"/>
      <c r="U13" s="305" t="s">
        <v>137</v>
      </c>
      <c r="V13" s="278"/>
      <c r="W13" s="278"/>
      <c r="X13" s="278"/>
      <c r="Y13" s="278"/>
      <c r="Z13" s="278"/>
      <c r="AA13" s="278"/>
      <c r="AB13" s="278"/>
      <c r="AC13" s="278"/>
      <c r="AD13" s="278"/>
      <c r="AE13" s="2"/>
      <c r="AF13" s="2"/>
      <c r="AG13" s="6"/>
      <c r="AH13" s="6"/>
      <c r="AI13" s="5"/>
    </row>
    <row r="14" spans="1:35" ht="12" customHeight="1">
      <c r="A14" s="5"/>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6"/>
      <c r="AH14" s="6"/>
      <c r="AI14" s="5"/>
    </row>
    <row r="15" spans="1:35" ht="12" customHeight="1">
      <c r="A15" s="5"/>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6"/>
      <c r="AH15" s="6"/>
      <c r="AI15" s="5"/>
    </row>
    <row r="16" spans="1:35" ht="12" customHeight="1">
      <c r="A16" s="5"/>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6"/>
      <c r="AH16" s="6"/>
      <c r="AI16" s="5"/>
    </row>
    <row r="17" spans="1:35" ht="13.5" customHeight="1">
      <c r="A17" s="5"/>
      <c r="B17" s="310" t="s">
        <v>142</v>
      </c>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6"/>
      <c r="AH17" s="6"/>
      <c r="AI17" s="5"/>
    </row>
    <row r="18" spans="1:35" ht="13.5" customHeight="1">
      <c r="A18" s="5"/>
      <c r="B18" s="183"/>
      <c r="C18" s="183"/>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6"/>
      <c r="AH18" s="6"/>
      <c r="AI18" s="5"/>
    </row>
    <row r="19" spans="1:35" ht="6" customHeight="1">
      <c r="A19" s="5"/>
      <c r="B19" s="183"/>
      <c r="C19" s="183"/>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6"/>
      <c r="AH19" s="6"/>
      <c r="AI19" s="5"/>
    </row>
    <row r="20" spans="1:35" ht="6" customHeight="1">
      <c r="A20" s="5"/>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6"/>
      <c r="AH20" s="34"/>
    </row>
    <row r="21" spans="1:35" ht="13.5" customHeight="1">
      <c r="A21" s="5"/>
      <c r="B21" s="116" t="s">
        <v>5</v>
      </c>
      <c r="C21" s="195"/>
      <c r="D21" s="195"/>
      <c r="E21" s="195"/>
      <c r="F21" s="195"/>
      <c r="G21" s="195"/>
      <c r="H21" s="195"/>
      <c r="I21" s="195"/>
      <c r="J21" s="195"/>
      <c r="K21" s="195"/>
      <c r="L21" s="195"/>
      <c r="M21" s="195"/>
      <c r="N21" s="195"/>
      <c r="O21" s="195"/>
      <c r="P21" s="195"/>
      <c r="Q21" s="195"/>
      <c r="R21" s="116" t="s">
        <v>32</v>
      </c>
      <c r="S21" s="195"/>
      <c r="T21" s="195"/>
      <c r="U21" s="195"/>
      <c r="V21" s="195"/>
      <c r="W21" s="195"/>
      <c r="X21" s="195"/>
      <c r="Y21" s="195"/>
      <c r="Z21" s="195"/>
      <c r="AA21" s="195"/>
      <c r="AB21" s="195"/>
      <c r="AC21" s="195"/>
      <c r="AD21" s="195"/>
      <c r="AE21" s="195"/>
      <c r="AF21" s="195"/>
      <c r="AG21" s="6"/>
      <c r="AH21" s="34"/>
    </row>
    <row r="22" spans="1:35" ht="13.5" customHeight="1">
      <c r="A22" s="5"/>
      <c r="B22" s="196" t="str">
        <f>見積書!$B$21</f>
        <v>あんしん電話当番サービス</v>
      </c>
      <c r="C22" s="197"/>
      <c r="D22" s="197"/>
      <c r="E22" s="197"/>
      <c r="F22" s="197"/>
      <c r="G22" s="197"/>
      <c r="H22" s="197"/>
      <c r="I22" s="197"/>
      <c r="J22" s="197"/>
      <c r="K22" s="197"/>
      <c r="L22" s="197"/>
      <c r="M22" s="197"/>
      <c r="N22" s="197"/>
      <c r="O22" s="197"/>
      <c r="P22" s="197"/>
      <c r="Q22" s="197"/>
      <c r="R22" s="196" t="str">
        <f>見積書!$R$21</f>
        <v>あんしん電話当番サービス利用規約</v>
      </c>
      <c r="S22" s="197"/>
      <c r="T22" s="197"/>
      <c r="U22" s="197"/>
      <c r="V22" s="197"/>
      <c r="W22" s="197"/>
      <c r="X22" s="197"/>
      <c r="Y22" s="197"/>
      <c r="Z22" s="197"/>
      <c r="AA22" s="197"/>
      <c r="AB22" s="197"/>
      <c r="AC22" s="197"/>
      <c r="AD22" s="197"/>
      <c r="AE22" s="197"/>
      <c r="AF22" s="197"/>
      <c r="AG22" s="6"/>
      <c r="AH22" s="34"/>
    </row>
    <row r="23" spans="1:35" ht="6" customHeight="1">
      <c r="A23" s="5"/>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6"/>
      <c r="AH23" s="34"/>
    </row>
    <row r="24" spans="1:35" ht="13.5" customHeight="1">
      <c r="A24" s="5"/>
      <c r="B24" s="273" t="s">
        <v>115</v>
      </c>
      <c r="C24" s="204"/>
      <c r="D24" s="204"/>
      <c r="E24" s="204"/>
      <c r="F24" s="204"/>
      <c r="G24" s="204"/>
      <c r="H24" s="204"/>
      <c r="I24" s="204"/>
      <c r="J24" s="204"/>
      <c r="K24" s="204"/>
      <c r="L24" s="204"/>
      <c r="M24" s="204"/>
      <c r="N24" s="204"/>
      <c r="O24" s="204"/>
      <c r="P24" s="204"/>
      <c r="Q24" s="205"/>
      <c r="R24" s="116" t="s">
        <v>34</v>
      </c>
      <c r="S24" s="195"/>
      <c r="T24" s="195"/>
      <c r="U24" s="195"/>
      <c r="V24" s="195"/>
      <c r="W24" s="195"/>
      <c r="X24" s="195"/>
      <c r="Y24" s="195"/>
      <c r="Z24" s="195"/>
      <c r="AA24" s="195"/>
      <c r="AB24" s="195"/>
      <c r="AC24" s="195"/>
      <c r="AD24" s="195"/>
      <c r="AE24" s="195"/>
      <c r="AF24" s="195"/>
      <c r="AG24" s="6"/>
      <c r="AH24" s="34"/>
    </row>
    <row r="25" spans="1:35" ht="13.5" customHeight="1">
      <c r="A25" s="5"/>
      <c r="B25" s="206"/>
      <c r="C25" s="207"/>
      <c r="D25" s="207"/>
      <c r="E25" s="207"/>
      <c r="F25" s="207"/>
      <c r="G25" s="207"/>
      <c r="H25" s="207"/>
      <c r="I25" s="207"/>
      <c r="J25" s="207"/>
      <c r="K25" s="207"/>
      <c r="L25" s="207"/>
      <c r="M25" s="207"/>
      <c r="N25" s="207"/>
      <c r="O25" s="207"/>
      <c r="P25" s="207"/>
      <c r="Q25" s="208"/>
      <c r="R25" s="116" t="s">
        <v>35</v>
      </c>
      <c r="S25" s="195"/>
      <c r="T25" s="195"/>
      <c r="U25" s="195"/>
      <c r="V25" s="195"/>
      <c r="W25" s="195"/>
      <c r="X25" s="195"/>
      <c r="Y25" s="195"/>
      <c r="Z25" s="116" t="s">
        <v>45</v>
      </c>
      <c r="AA25" s="195"/>
      <c r="AB25" s="195"/>
      <c r="AC25" s="195"/>
      <c r="AD25" s="195"/>
      <c r="AE25" s="195"/>
      <c r="AF25" s="195"/>
      <c r="AG25" s="6"/>
      <c r="AH25" s="34"/>
    </row>
    <row r="26" spans="1:35" ht="13.5" customHeight="1">
      <c r="A26" s="5"/>
      <c r="B26" s="116" t="s">
        <v>8</v>
      </c>
      <c r="C26" s="195"/>
      <c r="D26" s="195"/>
      <c r="E26" s="195"/>
      <c r="F26" s="195"/>
      <c r="G26" s="195"/>
      <c r="H26" s="193">
        <f>見積書!H25</f>
        <v>0</v>
      </c>
      <c r="I26" s="122"/>
      <c r="J26" s="122"/>
      <c r="K26" s="122"/>
      <c r="L26" s="122"/>
      <c r="M26" s="122"/>
      <c r="N26" s="122"/>
      <c r="O26" s="119"/>
      <c r="P26" s="119"/>
      <c r="Q26" s="120"/>
      <c r="R26" s="164" t="str">
        <f>見積書!R25</f>
        <v>サービス開始後直ちに</v>
      </c>
      <c r="S26" s="165"/>
      <c r="T26" s="165"/>
      <c r="U26" s="165"/>
      <c r="V26" s="165"/>
      <c r="W26" s="165"/>
      <c r="X26" s="165"/>
      <c r="Y26" s="165"/>
      <c r="Z26" s="200" t="str">
        <f>見積書!Z25</f>
        <v>口座振替</v>
      </c>
      <c r="AA26" s="201"/>
      <c r="AB26" s="201"/>
      <c r="AC26" s="201"/>
      <c r="AD26" s="201"/>
      <c r="AE26" s="201"/>
      <c r="AF26" s="201"/>
      <c r="AG26" s="6"/>
      <c r="AH26" s="34"/>
    </row>
    <row r="27" spans="1:35" ht="13.5" customHeight="1">
      <c r="A27" s="5"/>
      <c r="B27" s="195" t="s">
        <v>9</v>
      </c>
      <c r="C27" s="195"/>
      <c r="D27" s="195"/>
      <c r="E27" s="195"/>
      <c r="F27" s="195"/>
      <c r="G27" s="195"/>
      <c r="H27" s="193">
        <f>見積書!H26</f>
        <v>0</v>
      </c>
      <c r="I27" s="122"/>
      <c r="J27" s="122"/>
      <c r="K27" s="122"/>
      <c r="L27" s="122"/>
      <c r="M27" s="122"/>
      <c r="N27" s="122"/>
      <c r="O27" s="119"/>
      <c r="P27" s="119"/>
      <c r="Q27" s="120"/>
      <c r="R27" s="164" t="str">
        <f>見積書!R26</f>
        <v>請求期間開始後1か月以内</v>
      </c>
      <c r="S27" s="165"/>
      <c r="T27" s="165"/>
      <c r="U27" s="165"/>
      <c r="V27" s="165"/>
      <c r="W27" s="165"/>
      <c r="X27" s="165"/>
      <c r="Y27" s="165"/>
      <c r="Z27" s="168" t="str">
        <f>見積書!Z26</f>
        <v>1か月毎の</v>
      </c>
      <c r="AA27" s="168"/>
      <c r="AB27" s="169"/>
      <c r="AC27" s="198" t="str">
        <f>見積書!AC26</f>
        <v>口座振替</v>
      </c>
      <c r="AD27" s="199"/>
      <c r="AE27" s="199"/>
      <c r="AF27" s="199"/>
      <c r="AG27" s="6"/>
      <c r="AH27" s="34"/>
    </row>
    <row r="28" spans="1:35" ht="11.25" customHeight="1">
      <c r="A28" s="5"/>
      <c r="B28" s="170" t="str">
        <f>見積書!B27</f>
        <v>※月額料金は固定料金と従量料金の合計金額となります。従量料金は利用数に応じて変動するため、上記月額料金も変動します。</v>
      </c>
      <c r="C28" s="171"/>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row>
    <row r="29" spans="1:35" ht="11.25" customHeight="1">
      <c r="A29" s="5"/>
      <c r="B29" s="172" t="str">
        <f>見積書!B28</f>
        <v/>
      </c>
      <c r="C29" s="173"/>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6"/>
      <c r="AH29" s="34"/>
    </row>
    <row r="30" spans="1:35" ht="11.25" customHeight="1">
      <c r="A30" s="5"/>
      <c r="B30" s="173"/>
      <c r="C30" s="173"/>
      <c r="D30" s="173"/>
      <c r="E30" s="173"/>
      <c r="F30" s="173"/>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c r="AF30" s="173"/>
      <c r="AG30" s="6"/>
      <c r="AH30" s="34"/>
    </row>
    <row r="31" spans="1:35" ht="6" customHeight="1">
      <c r="A31" s="5"/>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6"/>
      <c r="AH31" s="34"/>
    </row>
    <row r="32" spans="1:35" ht="13.5" customHeight="1">
      <c r="A32" s="5"/>
      <c r="B32" s="174" t="s">
        <v>116</v>
      </c>
      <c r="C32" s="175"/>
      <c r="D32" s="175"/>
      <c r="E32" s="175"/>
      <c r="F32" s="175"/>
      <c r="G32" s="176"/>
      <c r="H32" s="2"/>
      <c r="I32" s="2"/>
      <c r="J32" s="2"/>
      <c r="K32" s="2"/>
      <c r="L32" s="2"/>
      <c r="M32" s="2"/>
      <c r="N32" s="2"/>
      <c r="O32" s="2"/>
      <c r="P32" s="2"/>
      <c r="Q32" s="2"/>
      <c r="R32" s="2"/>
      <c r="S32" s="2"/>
      <c r="T32" s="2"/>
      <c r="U32" s="2"/>
      <c r="V32" s="2"/>
      <c r="W32" s="2"/>
      <c r="X32" s="2"/>
      <c r="Y32" s="2"/>
      <c r="Z32" s="2"/>
      <c r="AA32" s="2"/>
      <c r="AB32" s="2"/>
      <c r="AC32" s="2"/>
      <c r="AD32" s="2"/>
      <c r="AE32" s="2"/>
      <c r="AF32" s="2"/>
      <c r="AG32" s="6"/>
      <c r="AH32" s="34"/>
    </row>
    <row r="33" spans="1:34" ht="13.5" customHeight="1">
      <c r="A33" s="5"/>
      <c r="B33" s="118" t="s">
        <v>12</v>
      </c>
      <c r="C33" s="119"/>
      <c r="D33" s="119"/>
      <c r="E33" s="119"/>
      <c r="F33" s="119"/>
      <c r="G33" s="120"/>
      <c r="H33" s="121" t="s">
        <v>29</v>
      </c>
      <c r="I33" s="122"/>
      <c r="J33" s="122"/>
      <c r="K33" s="122"/>
      <c r="L33" s="122"/>
      <c r="M33" s="122"/>
      <c r="N33" s="122"/>
      <c r="O33" s="122"/>
      <c r="P33" s="122"/>
      <c r="Q33" s="122"/>
      <c r="R33" s="122"/>
      <c r="S33" s="122"/>
      <c r="T33" s="122"/>
      <c r="U33" s="123"/>
      <c r="V33" s="161" t="s">
        <v>40</v>
      </c>
      <c r="W33" s="161"/>
      <c r="X33" s="161"/>
      <c r="Y33" s="162"/>
      <c r="Z33" s="163" t="s">
        <v>48</v>
      </c>
      <c r="AA33" s="163"/>
      <c r="AB33" s="161" t="s">
        <v>51</v>
      </c>
      <c r="AC33" s="161"/>
      <c r="AD33" s="161"/>
      <c r="AE33" s="161"/>
      <c r="AF33" s="161"/>
      <c r="AG33" s="6"/>
      <c r="AH33" s="34"/>
    </row>
    <row r="34" spans="1:34" ht="13.5" customHeight="1">
      <c r="A34" s="5"/>
      <c r="B34" s="222" t="str">
        <f>IF(見積書!B33="","",見積書!B33)</f>
        <v>初期料金</v>
      </c>
      <c r="C34" s="223"/>
      <c r="D34" s="223"/>
      <c r="E34" s="223"/>
      <c r="F34" s="223"/>
      <c r="G34" s="223"/>
      <c r="H34" s="223"/>
      <c r="I34" s="223"/>
      <c r="J34" s="223"/>
      <c r="K34" s="223"/>
      <c r="L34" s="223"/>
      <c r="M34" s="223"/>
      <c r="N34" s="223"/>
      <c r="O34" s="223"/>
      <c r="P34" s="223"/>
      <c r="Q34" s="223"/>
      <c r="R34" s="223"/>
      <c r="S34" s="223"/>
      <c r="T34" s="223"/>
      <c r="U34" s="224"/>
      <c r="V34" s="225">
        <f>IF(見積書!V33="","",見積書!V33)</f>
        <v>30000</v>
      </c>
      <c r="W34" s="226"/>
      <c r="X34" s="226"/>
      <c r="Y34" s="227"/>
      <c r="Z34" s="228" t="str">
        <f>IF(見積書!Z33="","",見積書!Z33)</f>
        <v/>
      </c>
      <c r="AA34" s="229"/>
      <c r="AB34" s="225" t="str">
        <f>IF(Z34="","",V34*Z34)</f>
        <v/>
      </c>
      <c r="AC34" s="226"/>
      <c r="AD34" s="226"/>
      <c r="AE34" s="226"/>
      <c r="AF34" s="230"/>
      <c r="AG34" s="6"/>
      <c r="AH34" s="34"/>
    </row>
    <row r="35" spans="1:34" ht="13.5" customHeight="1">
      <c r="A35" s="5"/>
      <c r="B35" s="222" t="str">
        <f>IF(見積書!B34="","",見積書!B34)</f>
        <v/>
      </c>
      <c r="C35" s="223"/>
      <c r="D35" s="223"/>
      <c r="E35" s="223"/>
      <c r="F35" s="223"/>
      <c r="G35" s="223"/>
      <c r="H35" s="223"/>
      <c r="I35" s="223"/>
      <c r="J35" s="223"/>
      <c r="K35" s="223"/>
      <c r="L35" s="223"/>
      <c r="M35" s="223"/>
      <c r="N35" s="223"/>
      <c r="O35" s="223"/>
      <c r="P35" s="223"/>
      <c r="Q35" s="223"/>
      <c r="R35" s="223"/>
      <c r="S35" s="223"/>
      <c r="T35" s="223"/>
      <c r="U35" s="224"/>
      <c r="V35" s="225" t="str">
        <f>IF(見積書!V34="","",見積書!V34)</f>
        <v/>
      </c>
      <c r="W35" s="226"/>
      <c r="X35" s="226"/>
      <c r="Y35" s="227"/>
      <c r="Z35" s="228" t="str">
        <f>IF(見積書!Z34="","",見積書!Z34)</f>
        <v/>
      </c>
      <c r="AA35" s="229"/>
      <c r="AB35" s="225" t="str">
        <f>IF(Z35="","",V35*Z35)</f>
        <v/>
      </c>
      <c r="AC35" s="226"/>
      <c r="AD35" s="226"/>
      <c r="AE35" s="226"/>
      <c r="AF35" s="230"/>
      <c r="AG35" s="6"/>
      <c r="AH35" s="34"/>
    </row>
    <row r="36" spans="1:34" ht="13.5" customHeight="1">
      <c r="A36" s="5"/>
      <c r="B36" s="222" t="str">
        <f>IF(見積書!B35="","",見積書!B35)</f>
        <v/>
      </c>
      <c r="C36" s="223"/>
      <c r="D36" s="223"/>
      <c r="E36" s="223"/>
      <c r="F36" s="223"/>
      <c r="G36" s="223"/>
      <c r="H36" s="223"/>
      <c r="I36" s="223"/>
      <c r="J36" s="223"/>
      <c r="K36" s="223"/>
      <c r="L36" s="223"/>
      <c r="M36" s="223"/>
      <c r="N36" s="223"/>
      <c r="O36" s="223"/>
      <c r="P36" s="223"/>
      <c r="Q36" s="223"/>
      <c r="R36" s="223"/>
      <c r="S36" s="223"/>
      <c r="T36" s="223"/>
      <c r="U36" s="224"/>
      <c r="V36" s="225" t="str">
        <f>IF(見積書!V35="","",見積書!V35)</f>
        <v/>
      </c>
      <c r="W36" s="226"/>
      <c r="X36" s="226"/>
      <c r="Y36" s="227"/>
      <c r="Z36" s="228" t="str">
        <f>IF(見積書!Z35="","",見積書!Z35)</f>
        <v/>
      </c>
      <c r="AA36" s="229"/>
      <c r="AB36" s="225" t="str">
        <f>IF(Z36="","",V36*Z36)</f>
        <v/>
      </c>
      <c r="AC36" s="226"/>
      <c r="AD36" s="226"/>
      <c r="AE36" s="226"/>
      <c r="AF36" s="230"/>
      <c r="AG36" s="6"/>
      <c r="AH36" s="34"/>
    </row>
    <row r="37" spans="1:34" ht="13.5" customHeight="1">
      <c r="A37" s="5"/>
      <c r="B37" s="231" t="s">
        <v>13</v>
      </c>
      <c r="C37" s="232"/>
      <c r="D37" s="232"/>
      <c r="E37" s="232"/>
      <c r="F37" s="232"/>
      <c r="G37" s="232"/>
      <c r="H37" s="232"/>
      <c r="I37" s="232"/>
      <c r="J37" s="232"/>
      <c r="K37" s="232"/>
      <c r="L37" s="232"/>
      <c r="M37" s="232"/>
      <c r="N37" s="232"/>
      <c r="O37" s="232"/>
      <c r="P37" s="232"/>
      <c r="Q37" s="232"/>
      <c r="R37" s="232"/>
      <c r="S37" s="232"/>
      <c r="T37" s="232"/>
      <c r="U37" s="232"/>
      <c r="V37" s="232"/>
      <c r="W37" s="232"/>
      <c r="X37" s="232"/>
      <c r="Y37" s="232"/>
      <c r="Z37" s="232"/>
      <c r="AA37" s="233"/>
      <c r="AB37" s="225">
        <f>SUM(AB34:AF36)</f>
        <v>0</v>
      </c>
      <c r="AC37" s="226"/>
      <c r="AD37" s="226"/>
      <c r="AE37" s="226"/>
      <c r="AF37" s="230"/>
      <c r="AG37" s="6"/>
      <c r="AH37" s="34"/>
    </row>
    <row r="38" spans="1:34" ht="6" customHeight="1">
      <c r="A38" s="5"/>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6"/>
      <c r="AH38" s="34"/>
    </row>
    <row r="39" spans="1:34" ht="13.5" customHeight="1">
      <c r="A39" s="5"/>
      <c r="B39" s="234" t="s">
        <v>14</v>
      </c>
      <c r="C39" s="235"/>
      <c r="D39" s="235"/>
      <c r="E39" s="235"/>
      <c r="F39" s="235"/>
      <c r="G39" s="236"/>
      <c r="H39" s="237" t="s">
        <v>29</v>
      </c>
      <c r="I39" s="238"/>
      <c r="J39" s="238"/>
      <c r="K39" s="238"/>
      <c r="L39" s="238"/>
      <c r="M39" s="238"/>
      <c r="N39" s="238"/>
      <c r="O39" s="238"/>
      <c r="P39" s="238"/>
      <c r="Q39" s="238"/>
      <c r="R39" s="238"/>
      <c r="S39" s="238"/>
      <c r="T39" s="238"/>
      <c r="U39" s="239"/>
      <c r="V39" s="240" t="s">
        <v>40</v>
      </c>
      <c r="W39" s="240"/>
      <c r="X39" s="240"/>
      <c r="Y39" s="241"/>
      <c r="Z39" s="242" t="s">
        <v>48</v>
      </c>
      <c r="AA39" s="242"/>
      <c r="AB39" s="240" t="s">
        <v>51</v>
      </c>
      <c r="AC39" s="240"/>
      <c r="AD39" s="240"/>
      <c r="AE39" s="240"/>
      <c r="AF39" s="240"/>
      <c r="AG39" s="6"/>
      <c r="AH39" s="34"/>
    </row>
    <row r="40" spans="1:34" ht="13.5" customHeight="1">
      <c r="A40" s="5"/>
      <c r="B40" s="243" t="s">
        <v>15</v>
      </c>
      <c r="C40" s="244"/>
      <c r="D40" s="244"/>
      <c r="E40" s="244"/>
      <c r="F40" s="244"/>
      <c r="G40" s="245"/>
      <c r="H40" s="246"/>
      <c r="I40" s="247"/>
      <c r="J40" s="247"/>
      <c r="K40" s="247"/>
      <c r="L40" s="247"/>
      <c r="M40" s="247"/>
      <c r="N40" s="247"/>
      <c r="O40" s="247"/>
      <c r="P40" s="248"/>
      <c r="Q40" s="247"/>
      <c r="R40" s="247"/>
      <c r="S40" s="247"/>
      <c r="T40" s="247"/>
      <c r="U40" s="247"/>
      <c r="V40" s="249"/>
      <c r="W40" s="226"/>
      <c r="X40" s="226"/>
      <c r="Y40" s="247"/>
      <c r="Z40" s="250"/>
      <c r="AA40" s="251"/>
      <c r="AB40" s="249"/>
      <c r="AC40" s="226"/>
      <c r="AD40" s="226"/>
      <c r="AE40" s="226"/>
      <c r="AF40" s="230"/>
      <c r="AG40" s="6"/>
      <c r="AH40" s="34"/>
    </row>
    <row r="41" spans="1:34" ht="13.5" customHeight="1">
      <c r="A41" s="5"/>
      <c r="B41" s="222" t="str">
        <f>IF(見積書!B40="","",見積書!B40)</f>
        <v/>
      </c>
      <c r="C41" s="223"/>
      <c r="D41" s="223"/>
      <c r="E41" s="223"/>
      <c r="F41" s="223"/>
      <c r="G41" s="224"/>
      <c r="H41" s="252" t="str">
        <f>IF(見積書!H40="","",見積書!H40)</f>
        <v/>
      </c>
      <c r="I41" s="252"/>
      <c r="J41" s="252"/>
      <c r="K41" s="252"/>
      <c r="L41" s="252"/>
      <c r="M41" s="252"/>
      <c r="N41" s="252"/>
      <c r="O41" s="252"/>
      <c r="P41" s="253" t="str">
        <f>IF(見積書!P40="","",見積書!P40)</f>
        <v/>
      </c>
      <c r="Q41" s="254"/>
      <c r="R41" s="254"/>
      <c r="S41" s="254"/>
      <c r="T41" s="254"/>
      <c r="U41" s="255"/>
      <c r="V41" s="225" t="str">
        <f>IF(見積書!V40="","",見積書!V40)</f>
        <v/>
      </c>
      <c r="W41" s="226"/>
      <c r="X41" s="226"/>
      <c r="Y41" s="227"/>
      <c r="Z41" s="228" t="str">
        <f>IF(見積書!Z40="","",見積書!Z40)</f>
        <v/>
      </c>
      <c r="AA41" s="229"/>
      <c r="AB41" s="225" t="str">
        <f t="shared" ref="AB41:AB47" si="0">IF(Z41="","",V41*Z41)</f>
        <v/>
      </c>
      <c r="AC41" s="226"/>
      <c r="AD41" s="226"/>
      <c r="AE41" s="226"/>
      <c r="AF41" s="230"/>
      <c r="AG41" s="6"/>
      <c r="AH41" s="34"/>
    </row>
    <row r="42" spans="1:34" ht="13.5" customHeight="1">
      <c r="A42" s="5"/>
      <c r="B42" s="222" t="str">
        <f>IF(見積書!B41="","",見積書!B41)</f>
        <v/>
      </c>
      <c r="C42" s="223"/>
      <c r="D42" s="223"/>
      <c r="E42" s="223"/>
      <c r="F42" s="223"/>
      <c r="G42" s="224"/>
      <c r="H42" s="252" t="str">
        <f>IF(見積書!H41="","",見積書!H41)</f>
        <v/>
      </c>
      <c r="I42" s="252"/>
      <c r="J42" s="252"/>
      <c r="K42" s="252"/>
      <c r="L42" s="252"/>
      <c r="M42" s="252"/>
      <c r="N42" s="252"/>
      <c r="O42" s="252"/>
      <c r="P42" s="253" t="str">
        <f>IF(見積書!P41="","",見積書!P41)</f>
        <v/>
      </c>
      <c r="Q42" s="254"/>
      <c r="R42" s="254"/>
      <c r="S42" s="254"/>
      <c r="T42" s="254"/>
      <c r="U42" s="255"/>
      <c r="V42" s="225" t="str">
        <f>IF(見積書!V41="","",見積書!V41)</f>
        <v/>
      </c>
      <c r="W42" s="226"/>
      <c r="X42" s="226"/>
      <c r="Y42" s="227"/>
      <c r="Z42" s="228" t="str">
        <f>IF(見積書!Z41="","",見積書!Z41)</f>
        <v/>
      </c>
      <c r="AA42" s="229"/>
      <c r="AB42" s="225" t="str">
        <f t="shared" si="0"/>
        <v/>
      </c>
      <c r="AC42" s="226"/>
      <c r="AD42" s="226"/>
      <c r="AE42" s="226"/>
      <c r="AF42" s="230"/>
      <c r="AG42" s="6"/>
      <c r="AH42" s="34"/>
    </row>
    <row r="43" spans="1:34" ht="13.5" customHeight="1">
      <c r="A43" s="5"/>
      <c r="B43" s="222" t="str">
        <f>IF(見積書!B42="","",見積書!B42)</f>
        <v/>
      </c>
      <c r="C43" s="223"/>
      <c r="D43" s="223"/>
      <c r="E43" s="223"/>
      <c r="F43" s="223"/>
      <c r="G43" s="224"/>
      <c r="H43" s="252" t="str">
        <f>IF(見積書!H42="","",見積書!H42)</f>
        <v/>
      </c>
      <c r="I43" s="252"/>
      <c r="J43" s="252"/>
      <c r="K43" s="252"/>
      <c r="L43" s="252"/>
      <c r="M43" s="252"/>
      <c r="N43" s="252"/>
      <c r="O43" s="252"/>
      <c r="P43" s="253" t="str">
        <f>IF(見積書!P42="","",見積書!P42)</f>
        <v/>
      </c>
      <c r="Q43" s="254"/>
      <c r="R43" s="254"/>
      <c r="S43" s="254"/>
      <c r="T43" s="254"/>
      <c r="U43" s="255"/>
      <c r="V43" s="225" t="str">
        <f>IF(見積書!V42="","",見積書!V42)</f>
        <v/>
      </c>
      <c r="W43" s="226"/>
      <c r="X43" s="226"/>
      <c r="Y43" s="227"/>
      <c r="Z43" s="228" t="str">
        <f>IF(見積書!Z42="","",見積書!Z42)</f>
        <v/>
      </c>
      <c r="AA43" s="229"/>
      <c r="AB43" s="225" t="str">
        <f t="shared" si="0"/>
        <v/>
      </c>
      <c r="AC43" s="226"/>
      <c r="AD43" s="226"/>
      <c r="AE43" s="226"/>
      <c r="AF43" s="230"/>
      <c r="AG43" s="6"/>
      <c r="AH43" s="34"/>
    </row>
    <row r="44" spans="1:34" ht="13.5" customHeight="1">
      <c r="A44" s="5"/>
      <c r="B44" s="222" t="str">
        <f>IF(見積書!B43="","",見積書!B43)</f>
        <v/>
      </c>
      <c r="C44" s="223"/>
      <c r="D44" s="223"/>
      <c r="E44" s="223"/>
      <c r="F44" s="223"/>
      <c r="G44" s="224"/>
      <c r="H44" s="252" t="str">
        <f>IF(見積書!H43="","",見積書!H43)</f>
        <v/>
      </c>
      <c r="I44" s="252"/>
      <c r="J44" s="252"/>
      <c r="K44" s="252"/>
      <c r="L44" s="252"/>
      <c r="M44" s="252"/>
      <c r="N44" s="252"/>
      <c r="O44" s="252"/>
      <c r="P44" s="253" t="str">
        <f>IF(見積書!P43="","",見積書!P43)</f>
        <v/>
      </c>
      <c r="Q44" s="254"/>
      <c r="R44" s="254"/>
      <c r="S44" s="254"/>
      <c r="T44" s="254"/>
      <c r="U44" s="255"/>
      <c r="V44" s="225" t="str">
        <f>IF(見積書!V43="","",見積書!V43)</f>
        <v/>
      </c>
      <c r="W44" s="226"/>
      <c r="X44" s="226"/>
      <c r="Y44" s="227"/>
      <c r="Z44" s="228" t="str">
        <f>IF(見積書!Z43="","",見積書!Z43)</f>
        <v/>
      </c>
      <c r="AA44" s="229"/>
      <c r="AB44" s="225" t="str">
        <f t="shared" si="0"/>
        <v/>
      </c>
      <c r="AC44" s="226"/>
      <c r="AD44" s="226"/>
      <c r="AE44" s="226"/>
      <c r="AF44" s="230"/>
      <c r="AG44" s="6"/>
      <c r="AH44" s="34"/>
    </row>
    <row r="45" spans="1:34" ht="13.5" customHeight="1">
      <c r="A45" s="5"/>
      <c r="B45" s="222" t="str">
        <f>IF(見積書!B44="","",見積書!B44)</f>
        <v/>
      </c>
      <c r="C45" s="223"/>
      <c r="D45" s="223"/>
      <c r="E45" s="223"/>
      <c r="F45" s="223"/>
      <c r="G45" s="224"/>
      <c r="H45" s="252" t="str">
        <f>IF(見積書!H44="","",見積書!H44)</f>
        <v/>
      </c>
      <c r="I45" s="252"/>
      <c r="J45" s="252"/>
      <c r="K45" s="252"/>
      <c r="L45" s="252"/>
      <c r="M45" s="252"/>
      <c r="N45" s="252"/>
      <c r="O45" s="252"/>
      <c r="P45" s="253" t="str">
        <f>IF(見積書!P44="","",見積書!P44)</f>
        <v/>
      </c>
      <c r="Q45" s="254"/>
      <c r="R45" s="254"/>
      <c r="S45" s="254"/>
      <c r="T45" s="254"/>
      <c r="U45" s="255"/>
      <c r="V45" s="225" t="str">
        <f>IF(見積書!V44="","",見積書!V44)</f>
        <v/>
      </c>
      <c r="W45" s="226"/>
      <c r="X45" s="226"/>
      <c r="Y45" s="227"/>
      <c r="Z45" s="228" t="str">
        <f>IF(見積書!Z44="","",見積書!Z44)</f>
        <v/>
      </c>
      <c r="AA45" s="229"/>
      <c r="AB45" s="225" t="str">
        <f t="shared" si="0"/>
        <v/>
      </c>
      <c r="AC45" s="226"/>
      <c r="AD45" s="226"/>
      <c r="AE45" s="226"/>
      <c r="AF45" s="230"/>
      <c r="AG45" s="6"/>
      <c r="AH45" s="34"/>
    </row>
    <row r="46" spans="1:34" ht="13.5" customHeight="1">
      <c r="A46" s="5"/>
      <c r="B46" s="222" t="str">
        <f>IF(見積書!B45="","",見積書!B45)</f>
        <v/>
      </c>
      <c r="C46" s="223"/>
      <c r="D46" s="223"/>
      <c r="E46" s="223"/>
      <c r="F46" s="223"/>
      <c r="G46" s="224"/>
      <c r="H46" s="252" t="str">
        <f>IF(見積書!H45="","",見積書!H45)</f>
        <v/>
      </c>
      <c r="I46" s="252"/>
      <c r="J46" s="252"/>
      <c r="K46" s="252"/>
      <c r="L46" s="252"/>
      <c r="M46" s="252"/>
      <c r="N46" s="252"/>
      <c r="O46" s="252"/>
      <c r="P46" s="253" t="str">
        <f>IF(見積書!P45="","",見積書!P45)</f>
        <v/>
      </c>
      <c r="Q46" s="254"/>
      <c r="R46" s="254"/>
      <c r="S46" s="254"/>
      <c r="T46" s="254"/>
      <c r="U46" s="255"/>
      <c r="V46" s="225" t="str">
        <f>IF(見積書!V45="","",見積書!V45)</f>
        <v/>
      </c>
      <c r="W46" s="226"/>
      <c r="X46" s="226"/>
      <c r="Y46" s="227"/>
      <c r="Z46" s="228" t="str">
        <f>IF(見積書!Z45="","",見積書!Z45)</f>
        <v/>
      </c>
      <c r="AA46" s="229"/>
      <c r="AB46" s="225" t="str">
        <f t="shared" si="0"/>
        <v/>
      </c>
      <c r="AC46" s="226"/>
      <c r="AD46" s="226"/>
      <c r="AE46" s="226"/>
      <c r="AF46" s="230"/>
      <c r="AG46" s="6"/>
      <c r="AH46" s="34"/>
    </row>
    <row r="47" spans="1:34" ht="13.5" customHeight="1">
      <c r="A47" s="5"/>
      <c r="B47" s="222" t="str">
        <f>IF(見積書!B46="","",見積書!B46)</f>
        <v/>
      </c>
      <c r="C47" s="223"/>
      <c r="D47" s="223"/>
      <c r="E47" s="223"/>
      <c r="F47" s="223"/>
      <c r="G47" s="224"/>
      <c r="H47" s="252" t="str">
        <f>IF(見積書!H46="","",見積書!H46)</f>
        <v/>
      </c>
      <c r="I47" s="252"/>
      <c r="J47" s="252"/>
      <c r="K47" s="252"/>
      <c r="L47" s="252"/>
      <c r="M47" s="252"/>
      <c r="N47" s="252"/>
      <c r="O47" s="252"/>
      <c r="P47" s="253" t="str">
        <f>IF(見積書!P46="","",見積書!P46)</f>
        <v/>
      </c>
      <c r="Q47" s="254"/>
      <c r="R47" s="254"/>
      <c r="S47" s="254"/>
      <c r="T47" s="254"/>
      <c r="U47" s="255"/>
      <c r="V47" s="225" t="str">
        <f>IF(見積書!V46="","",見積書!V46)</f>
        <v/>
      </c>
      <c r="W47" s="226"/>
      <c r="X47" s="226"/>
      <c r="Y47" s="227"/>
      <c r="Z47" s="228" t="str">
        <f>IF(見積書!Z46="","",見積書!Z46)</f>
        <v/>
      </c>
      <c r="AA47" s="229"/>
      <c r="AB47" s="225" t="str">
        <f t="shared" si="0"/>
        <v/>
      </c>
      <c r="AC47" s="226"/>
      <c r="AD47" s="226"/>
      <c r="AE47" s="226"/>
      <c r="AF47" s="230"/>
      <c r="AG47" s="6"/>
      <c r="AH47" s="34"/>
    </row>
    <row r="48" spans="1:34" ht="13.5" customHeight="1">
      <c r="A48" s="5"/>
      <c r="B48" s="256" t="s">
        <v>16</v>
      </c>
      <c r="C48" s="244"/>
      <c r="D48" s="244"/>
      <c r="E48" s="244"/>
      <c r="F48" s="244"/>
      <c r="G48" s="245"/>
      <c r="H48" s="246"/>
      <c r="I48" s="247"/>
      <c r="J48" s="247"/>
      <c r="K48" s="247"/>
      <c r="L48" s="247"/>
      <c r="M48" s="247"/>
      <c r="N48" s="247"/>
      <c r="O48" s="247"/>
      <c r="P48" s="248"/>
      <c r="Q48" s="247"/>
      <c r="R48" s="247"/>
      <c r="S48" s="247"/>
      <c r="T48" s="247"/>
      <c r="U48" s="247"/>
      <c r="V48" s="249"/>
      <c r="W48" s="226"/>
      <c r="X48" s="226"/>
      <c r="Y48" s="247"/>
      <c r="Z48" s="250"/>
      <c r="AA48" s="251"/>
      <c r="AB48" s="249"/>
      <c r="AC48" s="226"/>
      <c r="AD48" s="226"/>
      <c r="AE48" s="226"/>
      <c r="AF48" s="230"/>
      <c r="AG48" s="6"/>
      <c r="AH48" s="34"/>
    </row>
    <row r="49" spans="1:35" ht="13.5" customHeight="1">
      <c r="A49" s="5"/>
      <c r="B49" s="222" t="str">
        <f>IF(見積書!B48="","",見積書!B48)</f>
        <v/>
      </c>
      <c r="C49" s="223"/>
      <c r="D49" s="223"/>
      <c r="E49" s="223"/>
      <c r="F49" s="223"/>
      <c r="G49" s="224"/>
      <c r="H49" s="252" t="str">
        <f>IF(見積書!H48="","",見積書!H48)</f>
        <v/>
      </c>
      <c r="I49" s="252"/>
      <c r="J49" s="252"/>
      <c r="K49" s="252"/>
      <c r="L49" s="252"/>
      <c r="M49" s="252"/>
      <c r="N49" s="252"/>
      <c r="O49" s="252"/>
      <c r="P49" s="253" t="str">
        <f>IF(見積書!P48="","",見積書!P48)</f>
        <v/>
      </c>
      <c r="Q49" s="254"/>
      <c r="R49" s="254"/>
      <c r="S49" s="254"/>
      <c r="T49" s="254"/>
      <c r="U49" s="255"/>
      <c r="V49" s="225" t="str">
        <f>IF(見積書!V48="","",見積書!V48)</f>
        <v/>
      </c>
      <c r="W49" s="226"/>
      <c r="X49" s="226"/>
      <c r="Y49" s="227"/>
      <c r="Z49" s="228" t="str">
        <f>IF(見積書!Z48="","",見積書!Z48)</f>
        <v/>
      </c>
      <c r="AA49" s="229"/>
      <c r="AB49" s="225" t="str">
        <f t="shared" ref="AB49:AB54" si="1">IF(Z49="","",V49*Z49)</f>
        <v/>
      </c>
      <c r="AC49" s="226"/>
      <c r="AD49" s="226"/>
      <c r="AE49" s="226"/>
      <c r="AF49" s="230"/>
      <c r="AG49" s="6"/>
      <c r="AH49" s="34"/>
    </row>
    <row r="50" spans="1:35" ht="13.5" customHeight="1">
      <c r="A50" s="5"/>
      <c r="B50" s="222" t="str">
        <f>IF(見積書!B49="","",見積書!B49)</f>
        <v/>
      </c>
      <c r="C50" s="223"/>
      <c r="D50" s="223"/>
      <c r="E50" s="223"/>
      <c r="F50" s="223"/>
      <c r="G50" s="224"/>
      <c r="H50" s="252" t="str">
        <f>IF(見積書!H49="","",見積書!H49)</f>
        <v/>
      </c>
      <c r="I50" s="252"/>
      <c r="J50" s="252"/>
      <c r="K50" s="252"/>
      <c r="L50" s="252"/>
      <c r="M50" s="252"/>
      <c r="N50" s="252"/>
      <c r="O50" s="252"/>
      <c r="P50" s="253" t="str">
        <f>IF(見積書!P49="","",見積書!P49)</f>
        <v/>
      </c>
      <c r="Q50" s="254"/>
      <c r="R50" s="254"/>
      <c r="S50" s="254"/>
      <c r="T50" s="254"/>
      <c r="U50" s="255"/>
      <c r="V50" s="225" t="str">
        <f>IF(見積書!V49="","",見積書!V49)</f>
        <v/>
      </c>
      <c r="W50" s="226"/>
      <c r="X50" s="226"/>
      <c r="Y50" s="227"/>
      <c r="Z50" s="228" t="str">
        <f>IF(見積書!Z49="","",見積書!Z49)</f>
        <v/>
      </c>
      <c r="AA50" s="229"/>
      <c r="AB50" s="225" t="str">
        <f t="shared" si="1"/>
        <v/>
      </c>
      <c r="AC50" s="226"/>
      <c r="AD50" s="226"/>
      <c r="AE50" s="226"/>
      <c r="AF50" s="230"/>
      <c r="AG50" s="6"/>
      <c r="AH50" s="34"/>
    </row>
    <row r="51" spans="1:35" ht="13.5" customHeight="1">
      <c r="A51" s="5"/>
      <c r="B51" s="222" t="str">
        <f>IF(見積書!B50="","",見積書!B50)</f>
        <v/>
      </c>
      <c r="C51" s="223"/>
      <c r="D51" s="223"/>
      <c r="E51" s="223"/>
      <c r="F51" s="223"/>
      <c r="G51" s="224"/>
      <c r="H51" s="252" t="str">
        <f>IF(見積書!H50="","",見積書!H50)</f>
        <v/>
      </c>
      <c r="I51" s="252"/>
      <c r="J51" s="252"/>
      <c r="K51" s="252"/>
      <c r="L51" s="252"/>
      <c r="M51" s="252"/>
      <c r="N51" s="252"/>
      <c r="O51" s="252"/>
      <c r="P51" s="253" t="str">
        <f>IF(見積書!P50="","",見積書!P50)</f>
        <v/>
      </c>
      <c r="Q51" s="254"/>
      <c r="R51" s="254"/>
      <c r="S51" s="254"/>
      <c r="T51" s="254"/>
      <c r="U51" s="255"/>
      <c r="V51" s="225" t="str">
        <f>IF(見積書!V50="","",見積書!V50)</f>
        <v/>
      </c>
      <c r="W51" s="226"/>
      <c r="X51" s="226"/>
      <c r="Y51" s="227"/>
      <c r="Z51" s="228" t="str">
        <f>IF(見積書!Z50="","",見積書!Z50)</f>
        <v/>
      </c>
      <c r="AA51" s="229"/>
      <c r="AB51" s="225" t="str">
        <f t="shared" si="1"/>
        <v/>
      </c>
      <c r="AC51" s="226"/>
      <c r="AD51" s="226"/>
      <c r="AE51" s="226"/>
      <c r="AF51" s="230"/>
      <c r="AG51" s="6"/>
      <c r="AH51" s="34"/>
    </row>
    <row r="52" spans="1:35" ht="13.5" customHeight="1">
      <c r="A52" s="5"/>
      <c r="B52" s="222" t="str">
        <f>IF(見積書!B51="","",見積書!B51)</f>
        <v/>
      </c>
      <c r="C52" s="223"/>
      <c r="D52" s="223"/>
      <c r="E52" s="223"/>
      <c r="F52" s="223"/>
      <c r="G52" s="224"/>
      <c r="H52" s="252" t="str">
        <f>IF(見積書!H51="","",見積書!H51)</f>
        <v/>
      </c>
      <c r="I52" s="252"/>
      <c r="J52" s="252"/>
      <c r="K52" s="252"/>
      <c r="L52" s="252"/>
      <c r="M52" s="252"/>
      <c r="N52" s="252"/>
      <c r="O52" s="252"/>
      <c r="P52" s="253" t="str">
        <f>IF(見積書!P51="","",見積書!P51)</f>
        <v/>
      </c>
      <c r="Q52" s="254"/>
      <c r="R52" s="254"/>
      <c r="S52" s="254"/>
      <c r="T52" s="254"/>
      <c r="U52" s="255"/>
      <c r="V52" s="225" t="str">
        <f>IF(見積書!V51="","",見積書!V51)</f>
        <v/>
      </c>
      <c r="W52" s="226"/>
      <c r="X52" s="226"/>
      <c r="Y52" s="227"/>
      <c r="Z52" s="228" t="str">
        <f>IF(見積書!Z51="","",見積書!Z51)</f>
        <v/>
      </c>
      <c r="AA52" s="229"/>
      <c r="AB52" s="225" t="str">
        <f t="shared" si="1"/>
        <v/>
      </c>
      <c r="AC52" s="226"/>
      <c r="AD52" s="226"/>
      <c r="AE52" s="226"/>
      <c r="AF52" s="230"/>
      <c r="AG52" s="6"/>
      <c r="AH52" s="34"/>
    </row>
    <row r="53" spans="1:35" ht="13.5" customHeight="1">
      <c r="A53" s="5"/>
      <c r="B53" s="222" t="str">
        <f>IF(見積書!B52="","",見積書!B52)</f>
        <v/>
      </c>
      <c r="C53" s="223"/>
      <c r="D53" s="223"/>
      <c r="E53" s="223"/>
      <c r="F53" s="223"/>
      <c r="G53" s="224"/>
      <c r="H53" s="252" t="str">
        <f>IF(見積書!H52="","",見積書!H52)</f>
        <v/>
      </c>
      <c r="I53" s="252"/>
      <c r="J53" s="252"/>
      <c r="K53" s="252"/>
      <c r="L53" s="252"/>
      <c r="M53" s="252"/>
      <c r="N53" s="252"/>
      <c r="O53" s="252"/>
      <c r="P53" s="253" t="str">
        <f>IF(見積書!P52="","",見積書!P52)</f>
        <v/>
      </c>
      <c r="Q53" s="254"/>
      <c r="R53" s="254"/>
      <c r="S53" s="254"/>
      <c r="T53" s="254"/>
      <c r="U53" s="255"/>
      <c r="V53" s="225" t="str">
        <f>IF(見積書!V52="","",見積書!V52)</f>
        <v/>
      </c>
      <c r="W53" s="226"/>
      <c r="X53" s="226"/>
      <c r="Y53" s="227"/>
      <c r="Z53" s="228" t="str">
        <f>IF(見積書!Z52="","",見積書!Z52)</f>
        <v/>
      </c>
      <c r="AA53" s="229"/>
      <c r="AB53" s="225" t="str">
        <f t="shared" si="1"/>
        <v/>
      </c>
      <c r="AC53" s="226"/>
      <c r="AD53" s="226"/>
      <c r="AE53" s="226"/>
      <c r="AF53" s="230"/>
      <c r="AG53" s="6"/>
      <c r="AH53" s="34"/>
    </row>
    <row r="54" spans="1:35" ht="13.5" customHeight="1">
      <c r="A54" s="5"/>
      <c r="B54" s="222" t="str">
        <f>IF(見積書!B53="","",見積書!B53)</f>
        <v/>
      </c>
      <c r="C54" s="223"/>
      <c r="D54" s="223"/>
      <c r="E54" s="223"/>
      <c r="F54" s="223"/>
      <c r="G54" s="224"/>
      <c r="H54" s="252" t="str">
        <f>IF(見積書!H53="","",見積書!H53)</f>
        <v/>
      </c>
      <c r="I54" s="252"/>
      <c r="J54" s="252"/>
      <c r="K54" s="252"/>
      <c r="L54" s="252"/>
      <c r="M54" s="252"/>
      <c r="N54" s="252"/>
      <c r="O54" s="252"/>
      <c r="P54" s="253" t="str">
        <f>IF(見積書!P53="","",見積書!P53)</f>
        <v/>
      </c>
      <c r="Q54" s="254"/>
      <c r="R54" s="254"/>
      <c r="S54" s="254"/>
      <c r="T54" s="254"/>
      <c r="U54" s="255"/>
      <c r="V54" s="225" t="str">
        <f>IF(見積書!V53="","",見積書!V53)</f>
        <v/>
      </c>
      <c r="W54" s="226"/>
      <c r="X54" s="226"/>
      <c r="Y54" s="227"/>
      <c r="Z54" s="228" t="str">
        <f>IF(見積書!Z53="","",見積書!Z53)</f>
        <v/>
      </c>
      <c r="AA54" s="229"/>
      <c r="AB54" s="225" t="str">
        <f t="shared" si="1"/>
        <v/>
      </c>
      <c r="AC54" s="226"/>
      <c r="AD54" s="226"/>
      <c r="AE54" s="226"/>
      <c r="AF54" s="230"/>
      <c r="AG54" s="6"/>
      <c r="AH54" s="34"/>
    </row>
    <row r="55" spans="1:35" ht="13.5" customHeight="1">
      <c r="A55" s="5"/>
      <c r="B55" s="231" t="s">
        <v>13</v>
      </c>
      <c r="C55" s="232"/>
      <c r="D55" s="232"/>
      <c r="E55" s="232"/>
      <c r="F55" s="232"/>
      <c r="G55" s="232"/>
      <c r="H55" s="232"/>
      <c r="I55" s="232"/>
      <c r="J55" s="232"/>
      <c r="K55" s="232"/>
      <c r="L55" s="232"/>
      <c r="M55" s="232"/>
      <c r="N55" s="232"/>
      <c r="O55" s="232"/>
      <c r="P55" s="232"/>
      <c r="Q55" s="232"/>
      <c r="R55" s="232"/>
      <c r="S55" s="232"/>
      <c r="T55" s="232"/>
      <c r="U55" s="232"/>
      <c r="V55" s="232"/>
      <c r="W55" s="232"/>
      <c r="X55" s="232"/>
      <c r="Y55" s="232"/>
      <c r="Z55" s="232"/>
      <c r="AA55" s="233"/>
      <c r="AB55" s="225">
        <f>SUM(AB49:AF54,AB41:AF47)</f>
        <v>0</v>
      </c>
      <c r="AC55" s="226"/>
      <c r="AD55" s="226"/>
      <c r="AE55" s="226"/>
      <c r="AF55" s="230"/>
      <c r="AG55" s="6"/>
      <c r="AH55" s="34"/>
    </row>
    <row r="56" spans="1:35" ht="6" customHeight="1">
      <c r="A56" s="5"/>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6"/>
      <c r="AH56" s="34"/>
    </row>
    <row r="57" spans="1:35" ht="13.5" customHeight="1">
      <c r="A57" s="5"/>
      <c r="B57" s="195" t="s">
        <v>117</v>
      </c>
      <c r="C57" s="195"/>
      <c r="D57" s="195"/>
      <c r="E57" s="195"/>
      <c r="F57" s="195"/>
      <c r="G57" s="195"/>
      <c r="H57" s="51"/>
      <c r="I57" s="265"/>
      <c r="J57" s="266"/>
      <c r="K57" s="266"/>
      <c r="L57" s="52" t="s">
        <v>126</v>
      </c>
      <c r="M57" s="265"/>
      <c r="N57" s="266"/>
      <c r="O57" s="53" t="s">
        <v>127</v>
      </c>
      <c r="P57" s="265"/>
      <c r="Q57" s="266"/>
      <c r="R57" s="53" t="s">
        <v>128</v>
      </c>
      <c r="S57" s="54"/>
      <c r="T57" s="81"/>
      <c r="U57" s="82"/>
      <c r="V57" s="82"/>
      <c r="W57" s="82"/>
      <c r="X57" s="82"/>
      <c r="Y57" s="83"/>
      <c r="Z57" s="80"/>
      <c r="AA57" s="80"/>
      <c r="AB57" s="80"/>
      <c r="AC57" s="80"/>
      <c r="AD57" s="80"/>
      <c r="AE57" s="80"/>
      <c r="AF57" s="80"/>
      <c r="AG57" s="6"/>
      <c r="AH57" s="34"/>
    </row>
    <row r="58" spans="1:35" ht="13.5" customHeight="1">
      <c r="A58" s="5"/>
      <c r="B58" s="149" t="s">
        <v>17</v>
      </c>
      <c r="C58" s="149"/>
      <c r="D58" s="149"/>
      <c r="E58" s="149"/>
      <c r="F58" s="149"/>
      <c r="G58" s="149"/>
      <c r="H58" s="143" t="str">
        <f>見積書!H56</f>
        <v>サービス開始日より１年間とします。ただし、契約期間満了の３か月前までに、お客様またはセコムから相手方に対して文書による別段の意思表示がないときは、契約期間は１年間更新され、その後も同様とします。</v>
      </c>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5"/>
      <c r="AG58" s="6"/>
      <c r="AH58" s="34"/>
    </row>
    <row r="59" spans="1:35" ht="13.5" customHeight="1">
      <c r="A59" s="5"/>
      <c r="B59" s="150"/>
      <c r="C59" s="150"/>
      <c r="D59" s="150"/>
      <c r="E59" s="150"/>
      <c r="F59" s="150"/>
      <c r="G59" s="150"/>
      <c r="H59" s="146"/>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8"/>
      <c r="AG59" s="6"/>
      <c r="AH59" s="34"/>
    </row>
    <row r="60" spans="1:35" ht="6" customHeight="1">
      <c r="A60" s="5"/>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6"/>
      <c r="AH60" s="34"/>
    </row>
    <row r="61" spans="1:35" ht="13.5" hidden="1" customHeight="1">
      <c r="A61" s="5"/>
      <c r="B61" s="282" t="inlineStr">
        <is>
          <t>サービス
提供先</t>
          <rPh sb="5" eb="7">
            <t>テイキョウ</t>
          </rPh>
          <rPh sb="7" eb="8">
            <t>サキ</t>
          </rPh>
          <phoneticPr fontId="2"/>
        </is>
      </c>
      <c r="C61" s="283"/>
      <c r="D61" s="284"/>
      <c r="E61" s="195" t="inlineStr">
        <is>
          <t>ご住所</t>
          <rPh sb="1" eb="3">
            <t>ジュウショ</t>
          </rPh>
          <phoneticPr fontId="2"/>
        </is>
      </c>
      <c r="F61" s="199"/>
      <c r="G61" s="199"/>
      <c r="H61" s="17" t="inlineStr">
        <is>
          <t>〒</t>
          <phoneticPr fontId="2"/>
        </is>
      </c>
      <c r="I61" s="64"/>
      <c r="J61" s="48" t="inlineStr">
        <is>
          <t>-</t>
          <phoneticPr fontId="2"/>
        </is>
      </c>
      <c r="K61" s="291"/>
      <c r="L61" s="291"/>
      <c r="M61" s="262" t="inlineStr">
        <is>
          <t>ﾌﾘｶﾞﾅ</t>
          <phoneticPr fontId="2"/>
        </is>
      </c>
      <c r="N61" s="262"/>
      <c r="O61" s="280"/>
      <c r="P61" s="281"/>
      <c r="Q61" s="281"/>
      <c r="R61" s="281"/>
      <c r="S61" s="281"/>
      <c r="T61" s="281"/>
      <c r="U61" s="281"/>
      <c r="V61" s="281"/>
      <c r="W61" s="281"/>
      <c r="X61" s="281"/>
      <c r="Y61" s="281"/>
      <c r="Z61" s="281"/>
      <c r="AA61" s="281"/>
      <c r="AB61" s="281"/>
      <c r="AC61" s="281"/>
      <c r="AD61" s="281"/>
      <c r="AE61" s="281"/>
      <c r="AF61" s="100"/>
      <c r="AG61" s="6"/>
      <c r="AH61" s="6"/>
      <c r="AI61" s="5"/>
    </row>
    <row r="62" spans="1:35" ht="9.9499999999999993" hidden="1" customHeight="1">
      <c r="A62" s="5"/>
      <c r="B62" s="285"/>
      <c r="C62" s="286"/>
      <c r="D62" s="287"/>
      <c r="E62" s="199"/>
      <c r="F62" s="199"/>
      <c r="G62" s="199"/>
      <c r="H62" s="277"/>
      <c r="I62" s="278"/>
      <c r="J62" s="278"/>
      <c r="K62" s="278"/>
      <c r="L62" s="278"/>
      <c r="M62" s="278"/>
      <c r="N62" s="278"/>
      <c r="O62" s="278"/>
      <c r="P62" s="278"/>
      <c r="Q62" s="278"/>
      <c r="R62" s="278"/>
      <c r="S62" s="278"/>
      <c r="T62" s="278"/>
      <c r="U62" s="278"/>
      <c r="V62" s="278"/>
      <c r="W62" s="278"/>
      <c r="X62" s="278"/>
      <c r="Y62" s="278"/>
      <c r="Z62" s="278"/>
      <c r="AA62" s="278"/>
      <c r="AB62" s="278"/>
      <c r="AC62" s="278"/>
      <c r="AD62" s="278"/>
      <c r="AE62" s="278"/>
      <c r="AF62" s="279"/>
      <c r="AG62" s="6"/>
      <c r="AH62" s="6"/>
      <c r="AI62" s="5"/>
    </row>
    <row r="63" spans="1:35" ht="9.9499999999999993" hidden="1" customHeight="1">
      <c r="A63" s="5"/>
      <c r="B63" s="285"/>
      <c r="C63" s="286"/>
      <c r="D63" s="287"/>
      <c r="E63" s="199"/>
      <c r="F63" s="199"/>
      <c r="G63" s="199"/>
      <c r="H63" s="270"/>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2"/>
      <c r="AG63" s="6"/>
      <c r="AH63" s="6"/>
      <c r="AI63" s="5"/>
    </row>
    <row r="64" spans="1:35" ht="9.9499999999999993" hidden="1" customHeight="1">
      <c r="A64" s="5"/>
      <c r="B64" s="285"/>
      <c r="C64" s="286"/>
      <c r="D64" s="287"/>
      <c r="E64" s="195" t="inlineStr">
        <is>
          <t>ご名称</t>
          <rPh sb="1" eb="3">
            <t>メイショウ</t>
          </rPh>
          <phoneticPr fontId="2"/>
        </is>
      </c>
      <c r="F64" s="199"/>
      <c r="G64" s="199"/>
      <c r="H64" s="267"/>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9"/>
      <c r="AG64" s="6"/>
      <c r="AH64" s="6"/>
      <c r="AI64" s="5"/>
    </row>
    <row r="65" spans="1:35" ht="9.9499999999999993" hidden="1" customHeight="1">
      <c r="A65" s="5"/>
      <c r="B65" s="288"/>
      <c r="C65" s="289"/>
      <c r="D65" s="290"/>
      <c r="E65" s="199"/>
      <c r="F65" s="199"/>
      <c r="G65" s="199"/>
      <c r="H65" s="270"/>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2"/>
      <c r="AG65" s="6"/>
      <c r="AH65" s="6"/>
      <c r="AI65" s="5"/>
    </row>
    <row r="66" spans="1:35" ht="11.25" hidden="1">
      <c r="A66" s="5"/>
      <c r="B66" s="263" t="inlineStr">
        <is>
          <t>※本サービスを利用する法人がお客様と異なる場合に記載します。</t>
          <phoneticPr fontId="2"/>
        </is>
      </c>
      <c r="C66" s="264"/>
      <c r="D66" s="264"/>
      <c r="E66" s="264"/>
      <c r="F66" s="264"/>
      <c r="G66" s="264"/>
      <c r="H66" s="264"/>
      <c r="I66" s="264"/>
      <c r="J66" s="264"/>
      <c r="K66" s="264"/>
      <c r="L66" s="264"/>
      <c r="M66" s="264"/>
      <c r="N66" s="264"/>
      <c r="O66" s="264"/>
      <c r="P66" s="264"/>
      <c r="Q66" s="264"/>
      <c r="R66" s="264"/>
      <c r="S66" s="264"/>
      <c r="T66" s="264"/>
      <c r="U66" s="264"/>
      <c r="V66" s="264"/>
      <c r="W66" s="264"/>
      <c r="X66" s="264"/>
      <c r="Y66" s="264"/>
      <c r="Z66" s="264"/>
      <c r="AA66" s="264"/>
      <c r="AB66" s="264"/>
      <c r="AC66" s="264"/>
      <c r="AD66" s="264"/>
      <c r="AE66" s="264"/>
      <c r="AF66" s="264"/>
      <c r="AG66" s="6"/>
      <c r="AH66" s="34"/>
    </row>
    <row r="67" spans="1:35" ht="6" hidden="1" customHeight="1">
      <c r="A67" s="5"/>
      <c r="B67" s="49"/>
      <c r="C67" s="49"/>
      <c r="D67" s="49"/>
      <c r="E67" s="49"/>
      <c r="F67" s="49"/>
      <c r="G67" s="49"/>
      <c r="H67" s="2"/>
      <c r="I67" s="2"/>
      <c r="J67" s="2"/>
      <c r="K67" s="2"/>
      <c r="L67" s="2"/>
      <c r="M67" s="2"/>
      <c r="N67" s="2"/>
      <c r="O67" s="2"/>
      <c r="P67" s="2"/>
      <c r="Q67" s="2"/>
      <c r="R67" s="2"/>
      <c r="S67" s="2"/>
      <c r="T67" s="2"/>
      <c r="U67" s="2"/>
      <c r="V67" s="2"/>
      <c r="W67" s="2"/>
      <c r="X67" s="2"/>
      <c r="Y67" s="2"/>
      <c r="Z67" s="2"/>
      <c r="AA67" s="2"/>
      <c r="AB67" s="2"/>
      <c r="AC67" s="2"/>
      <c r="AD67" s="2"/>
      <c r="AE67" s="2"/>
      <c r="AF67" s="2"/>
      <c r="AG67" s="6"/>
      <c r="AH67" s="34"/>
    </row>
    <row r="68" spans="1:35" ht="13.5" customHeight="1">
      <c r="A68" s="5"/>
      <c r="B68" s="149" t="s">
        <v>118</v>
      </c>
      <c r="C68" s="149"/>
      <c r="D68" s="149"/>
      <c r="E68" s="149"/>
      <c r="F68" s="149"/>
      <c r="G68" s="149"/>
      <c r="H68" s="2"/>
      <c r="I68" s="2"/>
      <c r="J68" s="2"/>
      <c r="K68" s="2"/>
      <c r="L68" s="2"/>
      <c r="M68" s="2"/>
      <c r="N68" s="2"/>
      <c r="O68" s="2"/>
      <c r="P68" s="2"/>
      <c r="Q68" s="2"/>
      <c r="R68" s="2"/>
      <c r="S68" s="2"/>
      <c r="T68" s="2"/>
      <c r="U68" s="2"/>
      <c r="V68" s="2"/>
      <c r="W68" s="2"/>
      <c r="X68" s="2"/>
      <c r="Y68" s="2"/>
      <c r="Z68" s="2"/>
      <c r="AA68" s="2"/>
      <c r="AB68" s="2"/>
      <c r="AC68" s="2"/>
      <c r="AD68" s="2"/>
      <c r="AE68" s="2"/>
      <c r="AF68" s="2"/>
      <c r="AG68" s="6"/>
      <c r="AH68" s="34"/>
    </row>
    <row r="69" spans="1:35" s="9" customFormat="1" ht="11.25" customHeight="1">
      <c r="A69" s="7"/>
      <c r="B69" s="10" t="s">
        <v>19</v>
      </c>
      <c r="C69" s="138" t="str">
        <f>見積書!C60</f>
        <v>月額料金の請求開始日は、サービス開始日の属する月の１日とします。</v>
      </c>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40"/>
      <c r="AG69" s="8"/>
      <c r="AH69" s="35"/>
      <c r="AI69" s="40"/>
    </row>
    <row r="70" spans="1:35" s="9" customFormat="1" ht="11.25" customHeight="1">
      <c r="A70" s="7"/>
      <c r="B70" s="11" t="s">
        <v>19</v>
      </c>
      <c r="C70" s="141" t="str">
        <f>見積書!C61</f>
        <v>サービス終了月の月額料金については、その日数の長短にかかわらず、１か月分全額お支払いいただきます。</v>
      </c>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42"/>
      <c r="AG70" s="8"/>
      <c r="AH70" s="35"/>
      <c r="AI70" s="40"/>
    </row>
    <row r="71" spans="1:35" s="9" customFormat="1" ht="11.25" customHeight="1">
      <c r="A71" s="7"/>
      <c r="B71" s="11" t="s">
        <v>19</v>
      </c>
      <c r="C71" s="141" t="str">
        <f>見積書!C62</f>
        <v>詳細は、「あんしん電話当番サービス サービス記述書」に定めます。</v>
      </c>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42"/>
      <c r="AG71" s="8"/>
      <c r="AH71" s="35"/>
      <c r="AI71" s="40"/>
    </row>
    <row r="72" spans="1:35" s="9" customFormat="1" ht="11.25" customHeight="1">
      <c r="A72" s="7"/>
      <c r="B72" s="295" t="str">
        <f>IF(見積書!B65="","",見積書!B65)</f>
        <v>〇</v>
      </c>
      <c r="C72" s="292" t="str">
        <f>IF(見積書!C65="","",見積書!C65)</f>
        <v>口座振替の振替日が10日の場合、支払時期は「請求期間開始後2か月以内」になります。
また、振替日が20日で1月など月初に土日祝日が連続する場合、当月分の支払時期は「請求期間開始後2か月以内」になる場合があります。</v>
      </c>
      <c r="D72" s="293"/>
      <c r="E72" s="293"/>
      <c r="F72" s="293"/>
      <c r="G72" s="293"/>
      <c r="H72" s="293"/>
      <c r="I72" s="293"/>
      <c r="J72" s="293"/>
      <c r="K72" s="293"/>
      <c r="L72" s="293"/>
      <c r="M72" s="293"/>
      <c r="N72" s="293"/>
      <c r="O72" s="293"/>
      <c r="P72" s="293"/>
      <c r="Q72" s="293"/>
      <c r="R72" s="293"/>
      <c r="S72" s="293"/>
      <c r="T72" s="293"/>
      <c r="U72" s="293"/>
      <c r="V72" s="293"/>
      <c r="W72" s="293"/>
      <c r="X72" s="293"/>
      <c r="Y72" s="293"/>
      <c r="Z72" s="293"/>
      <c r="AA72" s="293"/>
      <c r="AB72" s="293"/>
      <c r="AC72" s="293"/>
      <c r="AD72" s="293"/>
      <c r="AE72" s="293"/>
      <c r="AF72" s="294"/>
      <c r="AG72" s="8"/>
      <c r="AH72" s="35"/>
      <c r="AI72" s="40"/>
    </row>
    <row r="73" spans="1:35" s="9" customFormat="1" ht="11.25" customHeight="1">
      <c r="A73" s="7"/>
      <c r="B73" s="296"/>
      <c r="C73" s="293"/>
      <c r="D73" s="293"/>
      <c r="E73" s="293"/>
      <c r="F73" s="293"/>
      <c r="G73" s="293"/>
      <c r="H73" s="293"/>
      <c r="I73" s="293"/>
      <c r="J73" s="293"/>
      <c r="K73" s="293"/>
      <c r="L73" s="293"/>
      <c r="M73" s="293"/>
      <c r="N73" s="293"/>
      <c r="O73" s="293"/>
      <c r="P73" s="293"/>
      <c r="Q73" s="293"/>
      <c r="R73" s="293"/>
      <c r="S73" s="293"/>
      <c r="T73" s="293"/>
      <c r="U73" s="293"/>
      <c r="V73" s="293"/>
      <c r="W73" s="293"/>
      <c r="X73" s="293"/>
      <c r="Y73" s="293"/>
      <c r="Z73" s="293"/>
      <c r="AA73" s="293"/>
      <c r="AB73" s="293"/>
      <c r="AC73" s="293"/>
      <c r="AD73" s="293"/>
      <c r="AE73" s="293"/>
      <c r="AF73" s="294"/>
      <c r="AG73" s="8"/>
      <c r="AH73" s="35"/>
      <c r="AI73" s="40"/>
    </row>
    <row r="74" spans="1:35" s="9" customFormat="1" ht="11.25" customHeight="1">
      <c r="A74" s="7"/>
      <c r="B74" s="11"/>
      <c r="C74" s="141"/>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1"/>
      <c r="AB74" s="131"/>
      <c r="AC74" s="131"/>
      <c r="AD74" s="131"/>
      <c r="AE74" s="131"/>
      <c r="AF74" s="142"/>
      <c r="AG74" s="8"/>
      <c r="AH74" s="35"/>
      <c r="AI74" s="40"/>
    </row>
    <row r="75" spans="1:35" s="9" customFormat="1" ht="11.25" customHeight="1">
      <c r="A75" s="7"/>
      <c r="B75" s="12"/>
      <c r="C75" s="274"/>
      <c r="D75" s="275"/>
      <c r="E75" s="275"/>
      <c r="F75" s="275"/>
      <c r="G75" s="275"/>
      <c r="H75" s="275"/>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6"/>
      <c r="AG75" s="8"/>
      <c r="AH75" s="35"/>
      <c r="AI75" s="40"/>
    </row>
    <row r="76" spans="1:35" s="9" customFormat="1" ht="6" customHeight="1">
      <c r="A76" s="7"/>
      <c r="AG76" s="8"/>
      <c r="AH76" s="35"/>
      <c r="AI76" s="40"/>
    </row>
    <row r="77" spans="1:35" ht="11.25" customHeight="1">
      <c r="A77" s="5"/>
      <c r="B77" s="133" t="s">
        <v>24</v>
      </c>
      <c r="C77" s="134"/>
      <c r="D77" s="134"/>
      <c r="E77" s="46"/>
      <c r="F77" s="46"/>
      <c r="G77" s="46"/>
      <c r="H77" s="46"/>
      <c r="I77" s="46"/>
      <c r="J77" s="46"/>
      <c r="K77" s="46"/>
      <c r="L77" s="46"/>
      <c r="M77" s="46"/>
      <c r="N77" s="46"/>
      <c r="O77" s="46"/>
      <c r="P77" s="46"/>
      <c r="Q77" s="46"/>
      <c r="R77" s="46"/>
      <c r="S77" s="46"/>
      <c r="T77" s="46"/>
      <c r="U77" s="46"/>
      <c r="V77" s="46"/>
      <c r="W77" s="46"/>
      <c r="X77" s="46"/>
      <c r="Y77" s="46"/>
      <c r="Z77" s="46"/>
      <c r="AA77" s="46"/>
      <c r="AB77" s="46"/>
      <c r="AC77" s="46"/>
      <c r="AF77" s="31" t="str">
        <f>IF(AND(見積書!S3&lt;&gt;"",見積書!U3&lt;&gt;""),CONCATENATE(見積書!S3,見積書!T3,見積書!U3),"")</f>
        <v/>
      </c>
      <c r="AG77" s="6"/>
      <c r="AH77" s="34"/>
    </row>
    <row r="78" spans="1:35" ht="13.5" customHeight="1">
      <c r="A78" s="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34"/>
    </row>
    <row r="79" spans="1:35" ht="13.5" hidden="1" customHeight="1">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6"/>
      <c r="AH79" s="34"/>
    </row>
    <row r="80" spans="1:35" ht="13.5" hidden="1" customHeight="1">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6"/>
      <c r="AH80" s="34"/>
    </row>
    <row r="81" spans="1:38" ht="13.5" hidden="1" customHeight="1">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6"/>
      <c r="AH81" s="34"/>
    </row>
    <row r="82" spans="1:38" s="32" customFormat="1" ht="13.5" hidden="1" customHeight="1">
      <c r="A82" s="1"/>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6"/>
      <c r="AH82" s="34"/>
      <c r="AI82" s="28"/>
      <c r="AJ82" s="1"/>
      <c r="AK82" s="1"/>
      <c r="AL82" s="1"/>
    </row>
    <row r="83" spans="1:38" s="32" customFormat="1" ht="13.5" hidden="1" customHeight="1">
      <c r="A83" s="1"/>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6"/>
      <c r="AH83" s="34"/>
      <c r="AI83" s="28"/>
      <c r="AJ83" s="1"/>
      <c r="AK83" s="1"/>
      <c r="AL83" s="1"/>
    </row>
    <row r="84" spans="1:38" s="32" customFormat="1" ht="13.5" hidden="1" customHeight="1">
      <c r="A84" s="1"/>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6"/>
      <c r="AH84" s="34"/>
      <c r="AI84" s="28"/>
      <c r="AJ84" s="1"/>
      <c r="AK84" s="1"/>
      <c r="AL84" s="1"/>
    </row>
    <row r="85" spans="1:38" s="32" customFormat="1" ht="13.5" hidden="1" customHeight="1">
      <c r="A85" s="1"/>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6"/>
      <c r="AH85" s="34"/>
      <c r="AI85" s="28"/>
      <c r="AJ85" s="1"/>
      <c r="AK85" s="1"/>
      <c r="AL85" s="1"/>
    </row>
    <row r="86" spans="1:38" s="32" customFormat="1" ht="13.5" hidden="1" customHeight="1">
      <c r="A86" s="1"/>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6"/>
      <c r="AH86" s="34"/>
      <c r="AI86" s="28"/>
      <c r="AJ86" s="1"/>
      <c r="AK86" s="1"/>
      <c r="AL86" s="1"/>
    </row>
    <row r="87" spans="1:38" s="32" customFormat="1" ht="13.5" hidden="1" customHeight="1">
      <c r="A87" s="1"/>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6"/>
      <c r="AH87" s="34"/>
      <c r="AI87" s="28"/>
      <c r="AJ87" s="1"/>
      <c r="AK87" s="1"/>
      <c r="AL87" s="1"/>
    </row>
    <row r="88" spans="1:38" ht="13.5" hidden="1" customHeight="1"/>
    <row r="89" spans="1:38" ht="13.5" hidden="1" customHeight="1"/>
    <row r="90" spans="1:38" ht="13.5" hidden="1" customHeight="1"/>
    <row r="91" spans="1:38" ht="13.5" hidden="1" customHeight="1"/>
    <row r="92" spans="1:38" ht="13.5" hidden="1" customHeight="1"/>
    <row r="93" spans="1:38" ht="13.5" hidden="1" customHeight="1"/>
    <row r="94" spans="1:38" ht="13.5" hidden="1" customHeight="1"/>
    <row r="95" spans="1:38" ht="13.5" hidden="1" customHeight="1"/>
    <row r="96" spans="1:38" ht="13.5" hidden="1" customHeight="1"/>
    <row r="97" ht="13.5" hidden="1" customHeight="1"/>
    <row r="98" ht="13.5" hidden="1" customHeight="1"/>
    <row r="99" ht="13.5" hidden="1" customHeight="1"/>
    <row r="100" ht="13.5" hidden="1" customHeight="1"/>
    <row r="101" ht="13.5" hidden="1" customHeight="1"/>
    <row r="102" ht="13.5" hidden="1" customHeight="1"/>
    <row r="103" ht="13.5" hidden="1" customHeight="1"/>
    <row r="104" ht="13.5" hidden="1" customHeight="1"/>
    <row r="105" ht="13.5" hidden="1" customHeight="1"/>
    <row r="106" ht="13.5" hidden="1" customHeight="1"/>
    <row r="107" ht="13.5" hidden="1" customHeight="1"/>
    <row r="108" ht="13.5" hidden="1" customHeight="1"/>
    <row r="109" ht="13.5" hidden="1" customHeight="1"/>
    <row r="110" ht="13.5" hidden="1" customHeight="1"/>
    <row r="111" ht="13.5" hidden="1" customHeight="1"/>
    <row r="112" ht="13.5" hidden="1" customHeight="1"/>
    <row r="113" ht="13.5" hidden="1" customHeight="1"/>
    <row r="114" ht="13.5" hidden="1" customHeight="1"/>
    <row r="115" ht="13.5" hidden="1" customHeight="1"/>
  </sheetData>
  <sheetProtection algorithmName="SHA-512" hashValue="CGiKqxFddu0R0BsvgLYTPNF2bMwqZRUXBolQjLMP6ngDZkeaczsmAx7Vswg9pObLTzU2XUCsda0uq2HElz5DzQ==" saltValue="GPtlGLNJ/0odIegP66Zpiw==" spinCount="100000" sheet="1" objects="1" scenarios="1"/>
  <mergeCells count="168">
    <mergeCell ref="B72:B73"/>
    <mergeCell ref="C72:AF73"/>
    <mergeCell ref="B24:Q25"/>
    <mergeCell ref="H26:Q26"/>
    <mergeCell ref="H27:Q27"/>
    <mergeCell ref="C74:AF74"/>
    <mergeCell ref="C75:AF75"/>
    <mergeCell ref="B4:AF5"/>
    <mergeCell ref="W7:Y7"/>
    <mergeCell ref="Z7:AA7"/>
    <mergeCell ref="B21:Q21"/>
    <mergeCell ref="R21:AF21"/>
    <mergeCell ref="B22:Q22"/>
    <mergeCell ref="R22:AF22"/>
    <mergeCell ref="R24:AF24"/>
    <mergeCell ref="R25:Y25"/>
    <mergeCell ref="Z25:AF25"/>
    <mergeCell ref="B26:G26"/>
    <mergeCell ref="R26:Y26"/>
    <mergeCell ref="Z26:AF26"/>
    <mergeCell ref="B27:G27"/>
    <mergeCell ref="R27:Y27"/>
    <mergeCell ref="Z27:AB27"/>
    <mergeCell ref="AC27:AF27"/>
    <mergeCell ref="B28:AF28"/>
    <mergeCell ref="B29:AF29"/>
    <mergeCell ref="B30:AF30"/>
    <mergeCell ref="B32:G32"/>
    <mergeCell ref="B33:G33"/>
    <mergeCell ref="H33:U33"/>
    <mergeCell ref="V33:Y33"/>
    <mergeCell ref="Z33:AA33"/>
    <mergeCell ref="AB33:AF33"/>
    <mergeCell ref="B36:U36"/>
    <mergeCell ref="V36:Y36"/>
    <mergeCell ref="Z36:AA36"/>
    <mergeCell ref="AB36:AF36"/>
    <mergeCell ref="B37:AA37"/>
    <mergeCell ref="AB37:AF37"/>
    <mergeCell ref="B34:U34"/>
    <mergeCell ref="V34:Y34"/>
    <mergeCell ref="Z34:AA34"/>
    <mergeCell ref="AB34:AF34"/>
    <mergeCell ref="B35:U35"/>
    <mergeCell ref="V35:Y35"/>
    <mergeCell ref="Z35:AA35"/>
    <mergeCell ref="AB35:AF35"/>
    <mergeCell ref="B39:G39"/>
    <mergeCell ref="H39:U39"/>
    <mergeCell ref="V39:Y39"/>
    <mergeCell ref="Z39:AA39"/>
    <mergeCell ref="AB39:AF39"/>
    <mergeCell ref="B40:G40"/>
    <mergeCell ref="H40:O40"/>
    <mergeCell ref="P40:U40"/>
    <mergeCell ref="V40:Y40"/>
    <mergeCell ref="Z40:AA40"/>
    <mergeCell ref="B42:G42"/>
    <mergeCell ref="H42:O42"/>
    <mergeCell ref="P42:U42"/>
    <mergeCell ref="V42:Y42"/>
    <mergeCell ref="Z42:AA42"/>
    <mergeCell ref="AB42:AF42"/>
    <mergeCell ref="AB40:AF40"/>
    <mergeCell ref="B41:G41"/>
    <mergeCell ref="H41:O41"/>
    <mergeCell ref="P41:U41"/>
    <mergeCell ref="V41:Y41"/>
    <mergeCell ref="Z41:AA41"/>
    <mergeCell ref="AB41:AF41"/>
    <mergeCell ref="B44:G44"/>
    <mergeCell ref="H44:O44"/>
    <mergeCell ref="P44:U44"/>
    <mergeCell ref="V44:Y44"/>
    <mergeCell ref="Z44:AA44"/>
    <mergeCell ref="AB44:AF44"/>
    <mergeCell ref="B43:G43"/>
    <mergeCell ref="H43:O43"/>
    <mergeCell ref="P43:U43"/>
    <mergeCell ref="V43:Y43"/>
    <mergeCell ref="Z43:AA43"/>
    <mergeCell ref="AB43:AF43"/>
    <mergeCell ref="B46:G46"/>
    <mergeCell ref="H46:O46"/>
    <mergeCell ref="P46:U46"/>
    <mergeCell ref="V46:Y46"/>
    <mergeCell ref="Z46:AA46"/>
    <mergeCell ref="AB46:AF46"/>
    <mergeCell ref="B45:G45"/>
    <mergeCell ref="H45:O45"/>
    <mergeCell ref="P45:U45"/>
    <mergeCell ref="V45:Y45"/>
    <mergeCell ref="Z45:AA45"/>
    <mergeCell ref="AB45:AF45"/>
    <mergeCell ref="B48:G48"/>
    <mergeCell ref="H48:O48"/>
    <mergeCell ref="P48:U48"/>
    <mergeCell ref="V48:Y48"/>
    <mergeCell ref="Z48:AA48"/>
    <mergeCell ref="AB48:AF48"/>
    <mergeCell ref="B47:G47"/>
    <mergeCell ref="H47:O47"/>
    <mergeCell ref="P47:U47"/>
    <mergeCell ref="V47:Y47"/>
    <mergeCell ref="Z47:AA47"/>
    <mergeCell ref="AB47:AF47"/>
    <mergeCell ref="B50:G50"/>
    <mergeCell ref="H50:O50"/>
    <mergeCell ref="P50:U50"/>
    <mergeCell ref="V50:Y50"/>
    <mergeCell ref="Z50:AA50"/>
    <mergeCell ref="AB50:AF50"/>
    <mergeCell ref="B49:G49"/>
    <mergeCell ref="H49:O49"/>
    <mergeCell ref="P49:U49"/>
    <mergeCell ref="V49:Y49"/>
    <mergeCell ref="Z49:AA49"/>
    <mergeCell ref="AB49:AF49"/>
    <mergeCell ref="B52:G52"/>
    <mergeCell ref="H52:O52"/>
    <mergeCell ref="P52:U52"/>
    <mergeCell ref="V52:Y52"/>
    <mergeCell ref="Z52:AA52"/>
    <mergeCell ref="AB52:AF52"/>
    <mergeCell ref="B51:G51"/>
    <mergeCell ref="H51:O51"/>
    <mergeCell ref="P51:U51"/>
    <mergeCell ref="V51:Y51"/>
    <mergeCell ref="Z51:AA51"/>
    <mergeCell ref="AB51:AF51"/>
    <mergeCell ref="M57:N57"/>
    <mergeCell ref="P57:Q57"/>
    <mergeCell ref="B54:G54"/>
    <mergeCell ref="H54:O54"/>
    <mergeCell ref="P54:U54"/>
    <mergeCell ref="V54:Y54"/>
    <mergeCell ref="Z54:AA54"/>
    <mergeCell ref="AB54:AF54"/>
    <mergeCell ref="B53:G53"/>
    <mergeCell ref="H53:O53"/>
    <mergeCell ref="P53:U53"/>
    <mergeCell ref="V53:Y53"/>
    <mergeCell ref="Z53:AA53"/>
    <mergeCell ref="AB53:AF53"/>
    <mergeCell ref="B77:D77"/>
    <mergeCell ref="U11:AD11"/>
    <mergeCell ref="U12:AD12"/>
    <mergeCell ref="U13:AD13"/>
    <mergeCell ref="B17:AF19"/>
    <mergeCell ref="B66:AF66"/>
    <mergeCell ref="B68:G68"/>
    <mergeCell ref="C69:AF69"/>
    <mergeCell ref="C70:AF70"/>
    <mergeCell ref="C71:AF71"/>
    <mergeCell ref="B58:G59"/>
    <mergeCell ref="H58:AF59"/>
    <mergeCell ref="B61:D65"/>
    <mergeCell ref="E61:G63"/>
    <mergeCell ref="K61:L61"/>
    <mergeCell ref="M61:N61"/>
    <mergeCell ref="O61:AF61"/>
    <mergeCell ref="H62:AF63"/>
    <mergeCell ref="E64:G65"/>
    <mergeCell ref="H64:AF65"/>
    <mergeCell ref="B55:AA55"/>
    <mergeCell ref="AB55:AF55"/>
    <mergeCell ref="B57:G57"/>
    <mergeCell ref="I57:K57"/>
  </mergeCells>
  <phoneticPr fontId="2"/>
  <printOptions horizontalCentered="1" verticalCentered="1"/>
  <pageMargins left="0.70866141732283472" right="0.31496062992125984" top="0.35433070866141736" bottom="0.15748031496062992" header="0.31496062992125984" footer="0.31496062992125984"/>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E5A02B9FF0C2E9438EA2A39F0898EC55" ma:contentTypeVersion="2" ma:contentTypeDescription="新しいドキュメントを作成します。" ma:contentTypeScope="" ma:versionID="1eae9eec1e249d577fb3a1f36420563b">
  <xsd:schema xmlns:xsd="http://www.w3.org/2001/XMLSchema" xmlns:xs="http://www.w3.org/2001/XMLSchema" xmlns:p="http://schemas.microsoft.com/office/2006/metadata/properties" xmlns:ns2="539085bf-2b58-4a0d-8768-226589f36bf2" targetNamespace="http://schemas.microsoft.com/office/2006/metadata/properties" ma:root="true" ma:fieldsID="40741d0f04eacc14dafd6612d6007f41" ns2:_="">
    <xsd:import namespace="539085bf-2b58-4a0d-8768-226589f36bf2"/>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9085bf-2b58-4a0d-8768-226589f36b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A42C402-A4D6-4997-9A2F-7CD9076DAE49}"/>
</file>

<file path=customXml/itemProps2.xml><?xml version="1.0" encoding="utf-8"?>
<ds:datastoreItem xmlns:ds="http://schemas.openxmlformats.org/officeDocument/2006/customXml" ds:itemID="{AE7F23A2-0765-4C4A-9926-2629329219EB}"/>
</file>

<file path=customXml/itemProps3.xml><?xml version="1.0" encoding="utf-8"?>
<ds:datastoreItem xmlns:ds="http://schemas.openxmlformats.org/officeDocument/2006/customXml" ds:itemID="{1D27DAFD-3F3A-4B39-8685-DCE80CA6E6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見積書</vt:lpstr>
      <vt:lpstr>申込書</vt:lpstr>
      <vt:lpstr>申込承諾書</vt:lpstr>
      <vt:lpstr>契約書</vt:lpstr>
      <vt:lpstr>契約書!Print_Area</vt:lpstr>
      <vt:lpstr>見積書!Print_Area</vt:lpstr>
      <vt:lpstr>申込書!Print_Area</vt:lpstr>
      <vt:lpstr>申込承諾書!Print_Area</vt:lpstr>
    </vt:vector>
  </TitlesOfParts>
  <Company>SECOM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Administrator</cp:lastModifiedBy>
  <cp:lastPrinted>2019-05-31T02:50:36Z</cp:lastPrinted>
  <dcterms:created xsi:type="dcterms:W3CDTF">2016-09-14T02:10:10Z</dcterms:created>
  <dcterms:modified xsi:type="dcterms:W3CDTF">2019-06-25T11:45:01Z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0x010100E5A02B9FF0C2E9438EA2A39F0898EC55</vt:lpwstr>
  </property>
</Properties>
</file>